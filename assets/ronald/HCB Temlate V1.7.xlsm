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nal8206\desktop\hcb template\"/>
    </mc:Choice>
  </mc:AlternateContent>
  <xr:revisionPtr revIDLastSave="0" documentId="13_ncr:1_{9CBF2CEE-824B-455F-9A0A-553A08B4C440}" xr6:coauthVersionLast="46" xr6:coauthVersionMax="46" xr10:uidLastSave="{00000000-0000-0000-0000-000000000000}"/>
  <bookViews>
    <workbookView xWindow="-108" yWindow="-108" windowWidth="23256" windowHeight="12576" activeTab="4" xr2:uid="{8ACA421D-3D76-4700-96EB-1E80C53115F4}"/>
  </bookViews>
  <sheets>
    <sheet name="Read Me " sheetId="6" r:id="rId1"/>
    <sheet name="Setup" sheetId="2" r:id="rId2"/>
    <sheet name="Comments" sheetId="5" state="hidden" r:id="rId3"/>
    <sheet name="Comments_Data" sheetId="7" r:id="rId4"/>
    <sheet name="Data" sheetId="4" r:id="rId5"/>
  </sheets>
  <functionGroups builtInGroupCount="19"/>
  <definedNames>
    <definedName name="_xlnm._FilterDatabase" localSheetId="3" hidden="1">Comments_Data!$B$2:$F$5942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 a="1"/>
  <c r="D4" i="5" s="1"/>
  <c r="E429" i="5" a="1"/>
  <c r="E429" i="5" s="1"/>
  <c r="D429" i="5" a="1"/>
  <c r="D429" i="5" s="1"/>
  <c r="E428" i="5" a="1"/>
  <c r="E428" i="5" s="1"/>
  <c r="D428" i="5" a="1"/>
  <c r="D428" i="5" s="1"/>
  <c r="E427" i="5" a="1"/>
  <c r="E427" i="5" s="1"/>
  <c r="D427" i="5" a="1"/>
  <c r="D427" i="5" s="1"/>
  <c r="E426" i="5" a="1"/>
  <c r="E426" i="5" s="1"/>
  <c r="D426" i="5" a="1"/>
  <c r="D426" i="5" s="1"/>
  <c r="E425" i="5" a="1"/>
  <c r="E425" i="5" s="1"/>
  <c r="D425" i="5" a="1"/>
  <c r="D425" i="5" s="1"/>
  <c r="E424" i="5" a="1"/>
  <c r="E424" i="5"/>
  <c r="D424" i="5" a="1"/>
  <c r="D424" i="5" s="1"/>
  <c r="E423" i="5" a="1"/>
  <c r="E423" i="5"/>
  <c r="D423" i="5" a="1"/>
  <c r="D423" i="5" s="1"/>
  <c r="E422" i="5" a="1"/>
  <c r="E422" i="5"/>
  <c r="D422" i="5" a="1"/>
  <c r="D422" i="5" s="1"/>
  <c r="E421" i="5" a="1"/>
  <c r="E421" i="5"/>
  <c r="D421" i="5" a="1"/>
  <c r="D421" i="5" s="1"/>
  <c r="E414" i="5" a="1"/>
  <c r="E414" i="5" s="1"/>
  <c r="D414" i="5" a="1"/>
  <c r="D414" i="5" s="1"/>
  <c r="E413" i="5" a="1"/>
  <c r="E413" i="5"/>
  <c r="D413" i="5" a="1"/>
  <c r="D413" i="5" s="1"/>
  <c r="E412" i="5" a="1"/>
  <c r="E412" i="5" s="1"/>
  <c r="D412" i="5" a="1"/>
  <c r="D412" i="5" s="1"/>
  <c r="E411" i="5" a="1"/>
  <c r="E411" i="5"/>
  <c r="D411" i="5" a="1"/>
  <c r="D411" i="5" s="1"/>
  <c r="E410" i="5" a="1"/>
  <c r="E410" i="5" s="1"/>
  <c r="D410" i="5" a="1"/>
  <c r="D410" i="5" s="1"/>
  <c r="E409" i="5" a="1"/>
  <c r="E409" i="5"/>
  <c r="D409" i="5" a="1"/>
  <c r="D409" i="5" s="1"/>
  <c r="E408" i="5" a="1"/>
  <c r="E408" i="5"/>
  <c r="D408" i="5" a="1"/>
  <c r="D408" i="5" s="1"/>
  <c r="E407" i="5" a="1"/>
  <c r="E407" i="5"/>
  <c r="D407" i="5" a="1"/>
  <c r="D407" i="5" s="1"/>
  <c r="E406" i="5" a="1"/>
  <c r="E406" i="5" s="1"/>
  <c r="D406" i="5" a="1"/>
  <c r="D406" i="5" s="1"/>
  <c r="E405" i="5" a="1"/>
  <c r="E405" i="5"/>
  <c r="D405" i="5" a="1"/>
  <c r="D405" i="5" s="1"/>
  <c r="E404" i="5" a="1"/>
  <c r="E404" i="5" s="1"/>
  <c r="D404" i="5" a="1"/>
  <c r="D404" i="5" s="1"/>
  <c r="E403" i="5" a="1"/>
  <c r="E403" i="5"/>
  <c r="D403" i="5" a="1"/>
  <c r="D403" i="5" s="1"/>
  <c r="E402" i="5" a="1"/>
  <c r="E402" i="5" s="1"/>
  <c r="D402" i="5" a="1"/>
  <c r="D402" i="5" s="1"/>
  <c r="E395" i="5" a="1"/>
  <c r="E395" i="5" s="1"/>
  <c r="D395" i="5" a="1"/>
  <c r="D395" i="5" s="1"/>
  <c r="E394" i="5" a="1"/>
  <c r="E394" i="5" s="1"/>
  <c r="D394" i="5" a="1"/>
  <c r="D394" i="5" s="1"/>
  <c r="E393" i="5" a="1"/>
  <c r="E393" i="5"/>
  <c r="D393" i="5" a="1"/>
  <c r="D393" i="5" s="1"/>
  <c r="E392" i="5" a="1"/>
  <c r="E392" i="5" s="1"/>
  <c r="D392" i="5" a="1"/>
  <c r="D392" i="5" s="1"/>
  <c r="E391" i="5" a="1"/>
  <c r="E391" i="5"/>
  <c r="D391" i="5" a="1"/>
  <c r="D391" i="5" s="1"/>
  <c r="E390" i="5" a="1"/>
  <c r="E390" i="5" s="1"/>
  <c r="D390" i="5" a="1"/>
  <c r="D390" i="5" s="1"/>
  <c r="E389" i="5" a="1"/>
  <c r="E389" i="5"/>
  <c r="D389" i="5" a="1"/>
  <c r="D389" i="5" s="1"/>
  <c r="E388" i="5" a="1"/>
  <c r="E388" i="5" s="1"/>
  <c r="D388" i="5" a="1"/>
  <c r="D388" i="5" s="1"/>
  <c r="E381" i="5" a="1"/>
  <c r="E381" i="5" s="1"/>
  <c r="D381" i="5" a="1"/>
  <c r="D381" i="5" s="1"/>
  <c r="E380" i="5" a="1"/>
  <c r="E380" i="5" s="1"/>
  <c r="D380" i="5" a="1"/>
  <c r="D380" i="5" s="1"/>
  <c r="E379" i="5" a="1"/>
  <c r="E379" i="5"/>
  <c r="D379" i="5" a="1"/>
  <c r="D379" i="5" s="1"/>
  <c r="E378" i="5" a="1"/>
  <c r="E378" i="5" s="1"/>
  <c r="D378" i="5" a="1"/>
  <c r="D378" i="5" s="1"/>
  <c r="E377" i="5" a="1"/>
  <c r="E377" i="5"/>
  <c r="D377" i="5" a="1"/>
  <c r="D377" i="5" s="1"/>
  <c r="E376" i="5" a="1"/>
  <c r="E376" i="5" s="1"/>
  <c r="D376" i="5" a="1"/>
  <c r="D376" i="5" s="1"/>
  <c r="E375" i="5" a="1"/>
  <c r="E375" i="5"/>
  <c r="D375" i="5" a="1"/>
  <c r="D375" i="5" s="1"/>
  <c r="E374" i="5" a="1"/>
  <c r="E374" i="5" s="1"/>
  <c r="D374" i="5" a="1"/>
  <c r="D374" i="5" s="1"/>
  <c r="E373" i="5" a="1"/>
  <c r="E373" i="5" s="1"/>
  <c r="D373" i="5" a="1"/>
  <c r="D373" i="5" s="1"/>
  <c r="E372" i="5" a="1"/>
  <c r="E372" i="5" s="1"/>
  <c r="D372" i="5" a="1"/>
  <c r="D372" i="5" s="1"/>
  <c r="E365" i="5" a="1"/>
  <c r="E365" i="5"/>
  <c r="D365" i="5" a="1"/>
  <c r="D365" i="5" s="1"/>
  <c r="E364" i="5" a="1"/>
  <c r="E364" i="5" s="1"/>
  <c r="D364" i="5" a="1"/>
  <c r="D364" i="5" s="1"/>
  <c r="E363" i="5" a="1"/>
  <c r="E363" i="5"/>
  <c r="D363" i="5" a="1"/>
  <c r="D363" i="5" s="1"/>
  <c r="E362" i="5" a="1"/>
  <c r="E362" i="5" s="1"/>
  <c r="D362" i="5" a="1"/>
  <c r="D362" i="5" s="1"/>
  <c r="E361" i="5" a="1"/>
  <c r="E361" i="5"/>
  <c r="D361" i="5" a="1"/>
  <c r="D361" i="5" s="1"/>
  <c r="E360" i="5" a="1"/>
  <c r="E360" i="5" s="1"/>
  <c r="D360" i="5" a="1"/>
  <c r="D360" i="5" s="1"/>
  <c r="E359" i="5" a="1"/>
  <c r="E359" i="5" s="1"/>
  <c r="D359" i="5" a="1"/>
  <c r="D359" i="5" s="1"/>
  <c r="E352" i="5" a="1"/>
  <c r="E352" i="5" s="1"/>
  <c r="D352" i="5" a="1"/>
  <c r="D352" i="5" s="1"/>
  <c r="E351" i="5" a="1"/>
  <c r="E351" i="5"/>
  <c r="D351" i="5" a="1"/>
  <c r="D351" i="5" s="1"/>
  <c r="E350" i="5" a="1"/>
  <c r="E350" i="5" s="1"/>
  <c r="D350" i="5" a="1"/>
  <c r="D350" i="5" s="1"/>
  <c r="E349" i="5" a="1"/>
  <c r="E349" i="5"/>
  <c r="D349" i="5" a="1"/>
  <c r="D349" i="5" s="1"/>
  <c r="E348" i="5" a="1"/>
  <c r="E348" i="5" s="1"/>
  <c r="D348" i="5" a="1"/>
  <c r="D348" i="5" s="1"/>
  <c r="E347" i="5" a="1"/>
  <c r="E347" i="5"/>
  <c r="D347" i="5" a="1"/>
  <c r="D347" i="5" s="1"/>
  <c r="E346" i="5" a="1"/>
  <c r="E346" i="5" s="1"/>
  <c r="D346" i="5" a="1"/>
  <c r="D346" i="5" s="1"/>
  <c r="E345" i="5" a="1"/>
  <c r="E345" i="5" s="1"/>
  <c r="D345" i="5" a="1"/>
  <c r="D345" i="5" s="1"/>
  <c r="E344" i="5" a="1"/>
  <c r="E344" i="5" s="1"/>
  <c r="D344" i="5" a="1"/>
  <c r="D344" i="5" s="1"/>
  <c r="E343" i="5" a="1"/>
  <c r="E343" i="5"/>
  <c r="D343" i="5" a="1"/>
  <c r="D343" i="5" s="1"/>
  <c r="E342" i="5" a="1"/>
  <c r="E342" i="5" s="1"/>
  <c r="D342" i="5" a="1"/>
  <c r="D342" i="5" s="1"/>
  <c r="E341" i="5" a="1"/>
  <c r="E341" i="5"/>
  <c r="D341" i="5" a="1"/>
  <c r="D341" i="5" s="1"/>
  <c r="E334" i="5" a="1"/>
  <c r="E334" i="5" s="1"/>
  <c r="D334" i="5" a="1"/>
  <c r="D334" i="5" s="1"/>
  <c r="E333" i="5" a="1"/>
  <c r="E333" i="5"/>
  <c r="D333" i="5" a="1"/>
  <c r="D333" i="5" s="1"/>
  <c r="E332" i="5" a="1"/>
  <c r="E332" i="5" s="1"/>
  <c r="D332" i="5" a="1"/>
  <c r="D332" i="5" s="1"/>
  <c r="E331" i="5" a="1"/>
  <c r="E331" i="5" s="1"/>
  <c r="D331" i="5" a="1"/>
  <c r="D331" i="5" s="1"/>
  <c r="E330" i="5" a="1"/>
  <c r="E330" i="5" s="1"/>
  <c r="D330" i="5" a="1"/>
  <c r="D330" i="5" s="1"/>
  <c r="E329" i="5" a="1"/>
  <c r="E329" i="5"/>
  <c r="D329" i="5" a="1"/>
  <c r="D329" i="5" s="1"/>
  <c r="E328" i="5" a="1"/>
  <c r="E328" i="5" s="1"/>
  <c r="D328" i="5" a="1"/>
  <c r="D328" i="5" s="1"/>
  <c r="E321" i="5" a="1"/>
  <c r="E321" i="5"/>
  <c r="D321" i="5" a="1"/>
  <c r="D321" i="5" s="1"/>
  <c r="E320" i="5" a="1"/>
  <c r="E320" i="5" s="1"/>
  <c r="D320" i="5" a="1"/>
  <c r="D320" i="5" s="1"/>
  <c r="E319" i="5" a="1"/>
  <c r="E319" i="5"/>
  <c r="D319" i="5" a="1"/>
  <c r="D319" i="5" s="1"/>
  <c r="E318" i="5" a="1"/>
  <c r="E318" i="5" s="1"/>
  <c r="D318" i="5" a="1"/>
  <c r="D318" i="5" s="1"/>
  <c r="E317" i="5" a="1"/>
  <c r="E317" i="5" s="1"/>
  <c r="D317" i="5" a="1"/>
  <c r="D317" i="5" s="1"/>
  <c r="E316" i="5" a="1"/>
  <c r="E316" i="5" s="1"/>
  <c r="D316" i="5" a="1"/>
  <c r="D316" i="5" s="1"/>
  <c r="E315" i="5" a="1"/>
  <c r="E315" i="5"/>
  <c r="D315" i="5" a="1"/>
  <c r="D315" i="5" s="1"/>
  <c r="E308" i="5" a="1"/>
  <c r="E308" i="5" s="1"/>
  <c r="D308" i="5" a="1"/>
  <c r="D308" i="5" s="1"/>
  <c r="E307" i="5" a="1"/>
  <c r="E307" i="5"/>
  <c r="D307" i="5" a="1"/>
  <c r="D307" i="5" s="1"/>
  <c r="E306" i="5" a="1"/>
  <c r="E306" i="5" s="1"/>
  <c r="D306" i="5" a="1"/>
  <c r="D306" i="5" s="1"/>
  <c r="E305" i="5" a="1"/>
  <c r="E305" i="5"/>
  <c r="D305" i="5" a="1"/>
  <c r="D305" i="5" s="1"/>
  <c r="E304" i="5" a="1"/>
  <c r="E304" i="5" s="1"/>
  <c r="D304" i="5" a="1"/>
  <c r="D304" i="5" s="1"/>
  <c r="E303" i="5" a="1"/>
  <c r="E303" i="5" s="1"/>
  <c r="D303" i="5" a="1"/>
  <c r="D303" i="5" s="1"/>
  <c r="E302" i="5" a="1"/>
  <c r="E302" i="5" s="1"/>
  <c r="D302" i="5" a="1"/>
  <c r="D302" i="5" s="1"/>
  <c r="E301" i="5" a="1"/>
  <c r="E301" i="5"/>
  <c r="D301" i="5" a="1"/>
  <c r="D301" i="5" s="1"/>
  <c r="E294" i="5" a="1"/>
  <c r="E294" i="5" s="1"/>
  <c r="D294" i="5" a="1"/>
  <c r="D294" i="5" s="1"/>
  <c r="E293" i="5" a="1"/>
  <c r="E293" i="5"/>
  <c r="D293" i="5" a="1"/>
  <c r="D293" i="5" s="1"/>
  <c r="E292" i="5" a="1"/>
  <c r="E292" i="5" s="1"/>
  <c r="D292" i="5" a="1"/>
  <c r="D292" i="5" s="1"/>
  <c r="E291" i="5" a="1"/>
  <c r="E291" i="5"/>
  <c r="D291" i="5" a="1"/>
  <c r="D291" i="5" s="1"/>
  <c r="E290" i="5" a="1"/>
  <c r="E290" i="5" s="1"/>
  <c r="D290" i="5" a="1"/>
  <c r="D290" i="5" s="1"/>
  <c r="E289" i="5" a="1"/>
  <c r="E289" i="5" s="1"/>
  <c r="D289" i="5" a="1"/>
  <c r="D289" i="5" s="1"/>
  <c r="E288" i="5" a="1"/>
  <c r="E288" i="5" s="1"/>
  <c r="D288" i="5" a="1"/>
  <c r="D288" i="5" s="1"/>
  <c r="E287" i="5" a="1"/>
  <c r="E287" i="5"/>
  <c r="D287" i="5" a="1"/>
  <c r="D287" i="5" s="1"/>
  <c r="E286" i="5" a="1"/>
  <c r="E286" i="5" s="1"/>
  <c r="D286" i="5" a="1"/>
  <c r="D286" i="5" s="1"/>
  <c r="E285" i="5" a="1"/>
  <c r="E285" i="5"/>
  <c r="D285" i="5" a="1"/>
  <c r="D285" i="5" s="1"/>
  <c r="E284" i="5" a="1"/>
  <c r="E284" i="5" s="1"/>
  <c r="D284" i="5" a="1"/>
  <c r="D284" i="5" s="1"/>
  <c r="E283" i="5" a="1"/>
  <c r="E283" i="5"/>
  <c r="D283" i="5" a="1"/>
  <c r="D283" i="5" s="1"/>
  <c r="E282" i="5" a="1"/>
  <c r="E282" i="5" s="1"/>
  <c r="D282" i="5" a="1"/>
  <c r="D282" i="5" s="1"/>
  <c r="E281" i="5" a="1"/>
  <c r="E281" i="5" s="1"/>
  <c r="D281" i="5" a="1"/>
  <c r="D281" i="5" s="1"/>
  <c r="E280" i="5" a="1"/>
  <c r="E280" i="5" s="1"/>
  <c r="D280" i="5" a="1"/>
  <c r="D280" i="5" s="1"/>
  <c r="E279" i="5" a="1"/>
  <c r="E279" i="5"/>
  <c r="D279" i="5" a="1"/>
  <c r="D279" i="5" s="1"/>
  <c r="E272" i="5" a="1"/>
  <c r="E272" i="5" s="1"/>
  <c r="D272" i="5" a="1"/>
  <c r="D272" i="5" s="1"/>
  <c r="E271" i="5" a="1"/>
  <c r="E271" i="5"/>
  <c r="D271" i="5" a="1"/>
  <c r="D271" i="5" s="1"/>
  <c r="E270" i="5" a="1"/>
  <c r="E270" i="5" s="1"/>
  <c r="D270" i="5" a="1"/>
  <c r="D270" i="5" s="1"/>
  <c r="E269" i="5" a="1"/>
  <c r="E269" i="5"/>
  <c r="D269" i="5" a="1"/>
  <c r="D269" i="5" s="1"/>
  <c r="E268" i="5" a="1"/>
  <c r="E268" i="5" s="1"/>
  <c r="D268" i="5" a="1"/>
  <c r="D268" i="5" s="1"/>
  <c r="E267" i="5" a="1"/>
  <c r="E267" i="5" s="1"/>
  <c r="D267" i="5" a="1"/>
  <c r="D267" i="5" s="1"/>
  <c r="E266" i="5" a="1"/>
  <c r="E266" i="5" s="1"/>
  <c r="D266" i="5" a="1"/>
  <c r="D266" i="5" s="1"/>
  <c r="E265" i="5" a="1"/>
  <c r="E265" i="5"/>
  <c r="D265" i="5" a="1"/>
  <c r="D265" i="5" s="1"/>
  <c r="E264" i="5" a="1"/>
  <c r="E264" i="5" s="1"/>
  <c r="D264" i="5" a="1"/>
  <c r="D264" i="5" s="1"/>
  <c r="E263" i="5" a="1"/>
  <c r="E263" i="5"/>
  <c r="D263" i="5" a="1"/>
  <c r="D263" i="5" s="1"/>
  <c r="E262" i="5" a="1"/>
  <c r="E262" i="5" s="1"/>
  <c r="D262" i="5" a="1"/>
  <c r="D262" i="5" s="1"/>
  <c r="E261" i="5" a="1"/>
  <c r="E261" i="5"/>
  <c r="D261" i="5" a="1"/>
  <c r="D261" i="5" s="1"/>
  <c r="E260" i="5" a="1"/>
  <c r="E260" i="5" s="1"/>
  <c r="D260" i="5" a="1"/>
  <c r="D260" i="5" s="1"/>
  <c r="E253" i="5" a="1"/>
  <c r="E253" i="5" s="1"/>
  <c r="D253" i="5" a="1"/>
  <c r="D253" i="5" s="1"/>
  <c r="E252" i="5" a="1"/>
  <c r="E252" i="5" s="1"/>
  <c r="D252" i="5" a="1"/>
  <c r="D252" i="5" s="1"/>
  <c r="E251" i="5" a="1"/>
  <c r="E251" i="5"/>
  <c r="D251" i="5" a="1"/>
  <c r="D251" i="5" s="1"/>
  <c r="E250" i="5" a="1"/>
  <c r="E250" i="5" s="1"/>
  <c r="D250" i="5" a="1"/>
  <c r="D250" i="5" s="1"/>
  <c r="E249" i="5" a="1"/>
  <c r="E249" i="5"/>
  <c r="D249" i="5" a="1"/>
  <c r="D249" i="5" s="1"/>
  <c r="E248" i="5" a="1"/>
  <c r="E248" i="5" s="1"/>
  <c r="D248" i="5" a="1"/>
  <c r="D248" i="5" s="1"/>
  <c r="E247" i="5" a="1"/>
  <c r="E247" i="5"/>
  <c r="D247" i="5" a="1"/>
  <c r="D247" i="5" s="1"/>
  <c r="E246" i="5" a="1"/>
  <c r="E246" i="5" s="1"/>
  <c r="D246" i="5" a="1"/>
  <c r="D246" i="5" s="1"/>
  <c r="E245" i="5" a="1"/>
  <c r="E245" i="5" s="1"/>
  <c r="D245" i="5" a="1"/>
  <c r="D245" i="5" s="1"/>
  <c r="E244" i="5" a="1"/>
  <c r="E244" i="5" s="1"/>
  <c r="D244" i="5" a="1"/>
  <c r="D244" i="5" s="1"/>
  <c r="E243" i="5" a="1"/>
  <c r="E243" i="5"/>
  <c r="D243" i="5" a="1"/>
  <c r="D243" i="5" s="1"/>
  <c r="E236" i="5" a="1"/>
  <c r="E236" i="5" s="1"/>
  <c r="D236" i="5" a="1"/>
  <c r="D236" i="5" s="1"/>
  <c r="E235" i="5" a="1"/>
  <c r="E235" i="5"/>
  <c r="D235" i="5" a="1"/>
  <c r="D235" i="5" s="1"/>
  <c r="E234" i="5" a="1"/>
  <c r="E234" i="5" s="1"/>
  <c r="D234" i="5" a="1"/>
  <c r="D234" i="5" s="1"/>
  <c r="E233" i="5" a="1"/>
  <c r="E233" i="5"/>
  <c r="D233" i="5" a="1"/>
  <c r="D233" i="5" s="1"/>
  <c r="E232" i="5" a="1"/>
  <c r="E232" i="5" s="1"/>
  <c r="D232" i="5" a="1"/>
  <c r="D232" i="5" s="1"/>
  <c r="E231" i="5" a="1"/>
  <c r="E231" i="5" s="1"/>
  <c r="D231" i="5" a="1"/>
  <c r="D231" i="5" s="1"/>
  <c r="E230" i="5" a="1"/>
  <c r="E230" i="5" s="1"/>
  <c r="D230" i="5" a="1"/>
  <c r="D230" i="5" s="1"/>
  <c r="E229" i="5" a="1"/>
  <c r="E229" i="5"/>
  <c r="D229" i="5" a="1"/>
  <c r="D229" i="5" s="1"/>
  <c r="E228" i="5" a="1"/>
  <c r="E228" i="5"/>
  <c r="D228" i="5" a="1"/>
  <c r="D228" i="5" s="1"/>
  <c r="E221" i="5" a="1"/>
  <c r="E221" i="5"/>
  <c r="D221" i="5" a="1"/>
  <c r="D221" i="5" s="1"/>
  <c r="E220" i="5" a="1"/>
  <c r="E220" i="5" s="1"/>
  <c r="D220" i="5" a="1"/>
  <c r="D220" i="5" s="1"/>
  <c r="E219" i="5" a="1"/>
  <c r="E219" i="5"/>
  <c r="D219" i="5" a="1"/>
  <c r="D219" i="5" s="1"/>
  <c r="E218" i="5" a="1"/>
  <c r="E218" i="5" s="1"/>
  <c r="D218" i="5" a="1"/>
  <c r="D218" i="5" s="1"/>
  <c r="D217" i="5" a="1"/>
  <c r="D217" i="5"/>
  <c r="E216" i="5" a="1"/>
  <c r="E216" i="5" s="1"/>
  <c r="D216" i="5" a="1"/>
  <c r="D216" i="5" s="1"/>
  <c r="E215" i="5" a="1"/>
  <c r="E215" i="5" s="1"/>
  <c r="D215" i="5" a="1"/>
  <c r="D215" i="5"/>
  <c r="E214" i="5" a="1"/>
  <c r="E214" i="5" s="1"/>
  <c r="D214" i="5" a="1"/>
  <c r="D214" i="5" s="1"/>
  <c r="E213" i="5" a="1"/>
  <c r="E213" i="5" s="1"/>
  <c r="D213" i="5" a="1"/>
  <c r="D213" i="5" s="1"/>
  <c r="E212" i="5" a="1"/>
  <c r="E212" i="5" s="1"/>
  <c r="D212" i="5" a="1"/>
  <c r="D212" i="5" s="1"/>
  <c r="E211" i="5" a="1"/>
  <c r="E211" i="5" s="1"/>
  <c r="D211" i="5" a="1"/>
  <c r="D211" i="5"/>
  <c r="E210" i="5" a="1"/>
  <c r="E210" i="5" s="1"/>
  <c r="D210" i="5" a="1"/>
  <c r="D210" i="5" s="1"/>
  <c r="E209" i="5" a="1"/>
  <c r="E209" i="5" s="1"/>
  <c r="D209" i="5" a="1"/>
  <c r="D209" i="5"/>
  <c r="E203" i="5" a="1"/>
  <c r="E203" i="5" s="1"/>
  <c r="D203" i="5" a="1"/>
  <c r="D203" i="5" s="1"/>
  <c r="E202" i="5" a="1"/>
  <c r="E202" i="5" s="1"/>
  <c r="D202" i="5" a="1"/>
  <c r="D202" i="5"/>
  <c r="E201" i="5" a="1"/>
  <c r="E201" i="5" s="1"/>
  <c r="D201" i="5" a="1"/>
  <c r="D201" i="5"/>
  <c r="E200" i="5" a="1"/>
  <c r="E200" i="5" s="1"/>
  <c r="D200" i="5" a="1"/>
  <c r="D200" i="5" s="1"/>
  <c r="E199" i="5" a="1"/>
  <c r="E199" i="5" s="1"/>
  <c r="D199" i="5" a="1"/>
  <c r="D199" i="5" s="1"/>
  <c r="E198" i="5" a="1"/>
  <c r="E198" i="5" s="1"/>
  <c r="D198" i="5" a="1"/>
  <c r="D198" i="5"/>
  <c r="E190" i="5" a="1"/>
  <c r="E190" i="5" s="1"/>
  <c r="D190" i="5" a="1"/>
  <c r="D190" i="5" s="1"/>
  <c r="E189" i="5" a="1"/>
  <c r="E189" i="5" s="1"/>
  <c r="D189" i="5" a="1"/>
  <c r="D189" i="5" s="1"/>
  <c r="E188" i="5" a="1"/>
  <c r="E188" i="5" s="1"/>
  <c r="D188" i="5" a="1"/>
  <c r="D188" i="5" s="1"/>
  <c r="E187" i="5" a="1"/>
  <c r="E187" i="5" s="1"/>
  <c r="D187" i="5" a="1"/>
  <c r="D187" i="5"/>
  <c r="E186" i="5" a="1"/>
  <c r="E186" i="5" s="1"/>
  <c r="D186" i="5" a="1"/>
  <c r="D186" i="5"/>
  <c r="E185" i="5" a="1"/>
  <c r="E185" i="5" s="1"/>
  <c r="D185" i="5" a="1"/>
  <c r="D185" i="5"/>
  <c r="E184" i="5" a="1"/>
  <c r="E184" i="5" s="1"/>
  <c r="D184" i="5" a="1"/>
  <c r="D184" i="5" s="1"/>
  <c r="E183" i="5" a="1"/>
  <c r="E183" i="5" s="1"/>
  <c r="D183" i="5" a="1"/>
  <c r="D183" i="5"/>
  <c r="E176" i="5" a="1"/>
  <c r="E176" i="5" s="1"/>
  <c r="D176" i="5" a="1"/>
  <c r="D176" i="5" s="1"/>
  <c r="E175" i="5" a="1"/>
  <c r="E175" i="5" s="1"/>
  <c r="D175" i="5" a="1"/>
  <c r="D175" i="5"/>
  <c r="E174" i="5" a="1"/>
  <c r="E174" i="5" s="1"/>
  <c r="D174" i="5" a="1"/>
  <c r="D174" i="5" s="1"/>
  <c r="E173" i="5" a="1"/>
  <c r="E173" i="5" s="1"/>
  <c r="D173" i="5" a="1"/>
  <c r="D173" i="5"/>
  <c r="E172" i="5" a="1"/>
  <c r="E172" i="5" s="1"/>
  <c r="D172" i="5" a="1"/>
  <c r="D172" i="5"/>
  <c r="E171" i="5" a="1"/>
  <c r="E171" i="5" s="1"/>
  <c r="D171" i="5" a="1"/>
  <c r="D171" i="5"/>
  <c r="E164" i="5" a="1"/>
  <c r="E164" i="5" s="1"/>
  <c r="D164" i="5" a="1"/>
  <c r="D164" i="5" s="1"/>
  <c r="E163" i="5" a="1"/>
  <c r="E163" i="5" s="1"/>
  <c r="D163" i="5" a="1"/>
  <c r="D163" i="5"/>
  <c r="E162" i="5" a="1"/>
  <c r="E162" i="5" s="1"/>
  <c r="D162" i="5" a="1"/>
  <c r="D162" i="5" s="1"/>
  <c r="E161" i="5" a="1"/>
  <c r="E161" i="5" s="1"/>
  <c r="D161" i="5" a="1"/>
  <c r="D161" i="5" s="1"/>
  <c r="E160" i="5" a="1"/>
  <c r="E160" i="5" s="1"/>
  <c r="D160" i="5" a="1"/>
  <c r="D160" i="5" s="1"/>
  <c r="E159" i="5" a="1"/>
  <c r="E159" i="5" s="1"/>
  <c r="D159" i="5" a="1"/>
  <c r="D159" i="5"/>
  <c r="E158" i="5" a="1"/>
  <c r="E158" i="5" s="1"/>
  <c r="D158" i="5" a="1"/>
  <c r="D158" i="5"/>
  <c r="E157" i="5" a="1"/>
  <c r="E157" i="5" s="1"/>
  <c r="D157" i="5" a="1"/>
  <c r="D157" i="5" s="1"/>
  <c r="E156" i="5" a="1"/>
  <c r="E156" i="5"/>
  <c r="D156" i="5" a="1"/>
  <c r="D156" i="5" s="1"/>
  <c r="E155" i="5" a="1"/>
  <c r="E155" i="5"/>
  <c r="D155" i="5" a="1"/>
  <c r="D155" i="5" s="1"/>
  <c r="E154" i="5" a="1"/>
  <c r="E154" i="5"/>
  <c r="D154" i="5" a="1"/>
  <c r="D154" i="5" s="1"/>
  <c r="E153" i="5" a="1"/>
  <c r="E153" i="5"/>
  <c r="D153" i="5" a="1"/>
  <c r="D153" i="5" s="1"/>
  <c r="E152" i="5" a="1"/>
  <c r="E152" i="5" s="1"/>
  <c r="D152" i="5" a="1"/>
  <c r="D152" i="5" s="1"/>
  <c r="E151" i="5" a="1"/>
  <c r="E151" i="5"/>
  <c r="D151" i="5" a="1"/>
  <c r="D151" i="5" s="1"/>
  <c r="E144" i="5" a="1"/>
  <c r="E144" i="5" s="1"/>
  <c r="D144" i="5" a="1"/>
  <c r="D144" i="5" s="1"/>
  <c r="E143" i="5" a="1"/>
  <c r="E143" i="5"/>
  <c r="D143" i="5" a="1"/>
  <c r="D143" i="5" s="1"/>
  <c r="E142" i="5" a="1"/>
  <c r="E142" i="5" s="1"/>
  <c r="D142" i="5" a="1"/>
  <c r="D142" i="5" s="1"/>
  <c r="E141" i="5" a="1"/>
  <c r="E141" i="5"/>
  <c r="D141" i="5" a="1"/>
  <c r="D141" i="5" s="1"/>
  <c r="E140" i="5" a="1"/>
  <c r="E140" i="5" s="1"/>
  <c r="D140" i="5" a="1"/>
  <c r="D140" i="5" s="1"/>
  <c r="E139" i="5" a="1"/>
  <c r="E139" i="5"/>
  <c r="D139" i="5" a="1"/>
  <c r="D139" i="5" s="1"/>
  <c r="E138" i="5" a="1"/>
  <c r="E138" i="5" s="1"/>
  <c r="D138" i="5" a="1"/>
  <c r="D138" i="5" s="1"/>
  <c r="E137" i="5" a="1"/>
  <c r="E137" i="5" s="1"/>
  <c r="D137" i="5" a="1"/>
  <c r="D137" i="5" s="1"/>
  <c r="E136" i="5" a="1"/>
  <c r="E136" i="5" s="1"/>
  <c r="D136" i="5" a="1"/>
  <c r="D136" i="5" s="1"/>
  <c r="E130" i="5" a="1"/>
  <c r="E130" i="5" s="1"/>
  <c r="D130" i="5" a="1"/>
  <c r="D130" i="5" s="1"/>
  <c r="E129" i="5" a="1"/>
  <c r="E129" i="5" s="1"/>
  <c r="D129" i="5" a="1"/>
  <c r="D129" i="5" s="1"/>
  <c r="E128" i="5" a="1"/>
  <c r="E128" i="5" s="1"/>
  <c r="D128" i="5" a="1"/>
  <c r="D128" i="5" s="1"/>
  <c r="E127" i="5" a="1"/>
  <c r="E127" i="5" s="1"/>
  <c r="D127" i="5" a="1"/>
  <c r="D127" i="5" s="1"/>
  <c r="E126" i="5" a="1"/>
  <c r="E126" i="5" s="1"/>
  <c r="D126" i="5" a="1"/>
  <c r="D126" i="5" s="1"/>
  <c r="E125" i="5" a="1"/>
  <c r="E125" i="5" s="1"/>
  <c r="D125" i="5" a="1"/>
  <c r="D125" i="5" s="1"/>
  <c r="E124" i="5" a="1"/>
  <c r="E124" i="5" s="1"/>
  <c r="D124" i="5" a="1"/>
  <c r="D124" i="5" s="1"/>
  <c r="E123" i="5" a="1"/>
  <c r="E123" i="5" s="1"/>
  <c r="D123" i="5" a="1"/>
  <c r="D123" i="5" s="1"/>
  <c r="E122" i="5" a="1"/>
  <c r="E122" i="5" s="1"/>
  <c r="D122" i="5" a="1"/>
  <c r="D122" i="5" s="1"/>
  <c r="E121" i="5" a="1"/>
  <c r="E121" i="5" s="1"/>
  <c r="D121" i="5" a="1"/>
  <c r="D121" i="5" s="1"/>
  <c r="E120" i="5" a="1"/>
  <c r="E120" i="5" s="1"/>
  <c r="D120" i="5" a="1"/>
  <c r="D120" i="5" s="1"/>
  <c r="E113" i="5" a="1"/>
  <c r="E113" i="5" s="1"/>
  <c r="D113" i="5" a="1"/>
  <c r="D113" i="5" s="1"/>
  <c r="E112" i="5" a="1"/>
  <c r="E112" i="5" s="1"/>
  <c r="D112" i="5" a="1"/>
  <c r="D112" i="5" s="1"/>
  <c r="E111" i="5" a="1"/>
  <c r="E111" i="5" s="1"/>
  <c r="D111" i="5" a="1"/>
  <c r="D111" i="5" s="1"/>
  <c r="E110" i="5" a="1"/>
  <c r="E110" i="5" s="1"/>
  <c r="D110" i="5" a="1"/>
  <c r="D110" i="5" s="1"/>
  <c r="E109" i="5" a="1"/>
  <c r="E109" i="5" s="1"/>
  <c r="D109" i="5" a="1"/>
  <c r="D109" i="5" s="1"/>
  <c r="E108" i="5" a="1"/>
  <c r="E108" i="5" s="1"/>
  <c r="D108" i="5" a="1"/>
  <c r="D108" i="5" s="1"/>
  <c r="E107" i="5" a="1"/>
  <c r="E107" i="5" s="1"/>
  <c r="D107" i="5" a="1"/>
  <c r="D107" i="5" s="1"/>
  <c r="E106" i="5" a="1"/>
  <c r="E106" i="5" s="1"/>
  <c r="D106" i="5" a="1"/>
  <c r="D106" i="5" s="1"/>
  <c r="E100" i="5" a="1"/>
  <c r="E100" i="5" s="1"/>
  <c r="D100" i="5" a="1"/>
  <c r="D100" i="5" s="1"/>
  <c r="E99" i="5" a="1"/>
  <c r="E99" i="5" s="1"/>
  <c r="D99" i="5" a="1"/>
  <c r="D99" i="5" s="1"/>
  <c r="E98" i="5" a="1"/>
  <c r="E98" i="5" s="1"/>
  <c r="D98" i="5" a="1"/>
  <c r="D98" i="5" s="1"/>
  <c r="E97" i="5" a="1"/>
  <c r="E97" i="5" s="1"/>
  <c r="D97" i="5" a="1"/>
  <c r="D97" i="5" s="1"/>
  <c r="E96" i="5" a="1"/>
  <c r="E96" i="5" s="1"/>
  <c r="D96" i="5" a="1"/>
  <c r="D96" i="5" s="1"/>
  <c r="E95" i="5" a="1"/>
  <c r="E95" i="5" s="1"/>
  <c r="D95" i="5" a="1"/>
  <c r="D95" i="5" s="1"/>
  <c r="E94" i="5" a="1"/>
  <c r="E94" i="5" s="1"/>
  <c r="D94" i="5" a="1"/>
  <c r="D94" i="5" s="1"/>
  <c r="E93" i="5" a="1"/>
  <c r="E93" i="5" s="1"/>
  <c r="D93" i="5" a="1"/>
  <c r="D93" i="5" s="1"/>
  <c r="E87" i="5" a="1"/>
  <c r="E87" i="5" s="1"/>
  <c r="D87" i="5" a="1"/>
  <c r="D87" i="5" s="1"/>
  <c r="E86" i="5" a="1"/>
  <c r="E86" i="5" s="1"/>
  <c r="D86" i="5" a="1"/>
  <c r="D86" i="5" s="1"/>
  <c r="E85" i="5" a="1"/>
  <c r="E85" i="5" s="1"/>
  <c r="D85" i="5" a="1"/>
  <c r="D85" i="5" s="1"/>
  <c r="E84" i="5" a="1"/>
  <c r="E84" i="5" s="1"/>
  <c r="D84" i="5" a="1"/>
  <c r="D84" i="5" s="1"/>
  <c r="E83" i="5" a="1"/>
  <c r="E83" i="5" s="1"/>
  <c r="D83" i="5" a="1"/>
  <c r="D83" i="5" s="1"/>
  <c r="E82" i="5" a="1"/>
  <c r="E82" i="5" s="1"/>
  <c r="D82" i="5" a="1"/>
  <c r="D82" i="5" s="1"/>
  <c r="E81" i="5" a="1"/>
  <c r="E81" i="5" s="1"/>
  <c r="D81" i="5" a="1"/>
  <c r="D81" i="5" s="1"/>
  <c r="E80" i="5" a="1"/>
  <c r="E80" i="5" s="1"/>
  <c r="D80" i="5" a="1"/>
  <c r="D80" i="5" s="1"/>
  <c r="E73" i="5" a="1"/>
  <c r="E73" i="5" s="1"/>
  <c r="D73" i="5" a="1"/>
  <c r="D73" i="5" s="1"/>
  <c r="E72" i="5" a="1"/>
  <c r="E72" i="5" s="1"/>
  <c r="D72" i="5" a="1"/>
  <c r="D72" i="5" s="1"/>
  <c r="E71" i="5" a="1"/>
  <c r="E71" i="5" s="1"/>
  <c r="D71" i="5" a="1"/>
  <c r="D71" i="5" s="1"/>
  <c r="E70" i="5" a="1"/>
  <c r="E70" i="5" s="1"/>
  <c r="D70" i="5" a="1"/>
  <c r="D70" i="5" s="1"/>
  <c r="E69" i="5" a="1"/>
  <c r="E69" i="5" s="1"/>
  <c r="D69" i="5" a="1"/>
  <c r="D69" i="5" s="1"/>
  <c r="E68" i="5" a="1"/>
  <c r="E68" i="5" s="1"/>
  <c r="D68" i="5" a="1"/>
  <c r="D68" i="5" s="1"/>
  <c r="E67" i="5" a="1"/>
  <c r="E67" i="5" s="1"/>
  <c r="D67" i="5" a="1"/>
  <c r="D67" i="5" s="1"/>
  <c r="E66" i="5" a="1"/>
  <c r="E66" i="5" s="1"/>
  <c r="D66" i="5" a="1"/>
  <c r="D66" i="5" s="1"/>
  <c r="E65" i="5" a="1"/>
  <c r="E65" i="5" s="1"/>
  <c r="D65" i="5" a="1"/>
  <c r="D65" i="5" s="1"/>
  <c r="E64" i="5" a="1"/>
  <c r="E64" i="5" s="1"/>
  <c r="D64" i="5" a="1"/>
  <c r="D64" i="5" s="1"/>
  <c r="E63" i="5" a="1"/>
  <c r="E63" i="5" s="1"/>
  <c r="D63" i="5" a="1"/>
  <c r="D63" i="5" s="1"/>
  <c r="E57" i="5" a="1"/>
  <c r="E57" i="5" s="1"/>
  <c r="D57" i="5" a="1"/>
  <c r="D57" i="5" s="1"/>
  <c r="E56" i="5" a="1"/>
  <c r="E56" i="5" s="1"/>
  <c r="D56" i="5" a="1"/>
  <c r="D56" i="5" s="1"/>
  <c r="E55" i="5" a="1"/>
  <c r="E55" i="5" s="1"/>
  <c r="D55" i="5" a="1"/>
  <c r="D55" i="5" s="1"/>
  <c r="E54" i="5" a="1"/>
  <c r="E54" i="5" s="1"/>
  <c r="D54" i="5" a="1"/>
  <c r="D54" i="5" s="1"/>
  <c r="E53" i="5" a="1"/>
  <c r="E53" i="5" s="1"/>
  <c r="D53" i="5" a="1"/>
  <c r="D53" i="5" s="1"/>
  <c r="E52" i="5" a="1"/>
  <c r="E52" i="5" s="1"/>
  <c r="D52" i="5" a="1"/>
  <c r="D52" i="5" s="1"/>
  <c r="E51" i="5" a="1"/>
  <c r="E51" i="5" s="1"/>
  <c r="D51" i="5" a="1"/>
  <c r="D51" i="5" s="1"/>
  <c r="E50" i="5" a="1"/>
  <c r="E50" i="5" s="1"/>
  <c r="D50" i="5" a="1"/>
  <c r="D50" i="5" s="1"/>
  <c r="E49" i="5" a="1"/>
  <c r="E49" i="5" s="1"/>
  <c r="D49" i="5" a="1"/>
  <c r="D49" i="5" s="1"/>
  <c r="E48" i="5" a="1"/>
  <c r="E48" i="5" s="1"/>
  <c r="D48" i="5" a="1"/>
  <c r="D48" i="5" s="1"/>
  <c r="E42" i="5" a="1"/>
  <c r="E42" i="5" s="1"/>
  <c r="D42" i="5" a="1"/>
  <c r="D42" i="5" s="1"/>
  <c r="E41" i="5" a="1"/>
  <c r="E41" i="5" s="1"/>
  <c r="D41" i="5" a="1"/>
  <c r="D41" i="5" s="1"/>
  <c r="E40" i="5" a="1"/>
  <c r="E40" i="5" s="1"/>
  <c r="D40" i="5" a="1"/>
  <c r="D40" i="5" s="1"/>
  <c r="E39" i="5" a="1"/>
  <c r="E39" i="5" s="1"/>
  <c r="D39" i="5" a="1"/>
  <c r="D39" i="5" s="1"/>
  <c r="E38" i="5" a="1"/>
  <c r="E38" i="5" s="1"/>
  <c r="D38" i="5" a="1"/>
  <c r="D38" i="5" s="1"/>
  <c r="E37" i="5" a="1"/>
  <c r="E37" i="5" s="1"/>
  <c r="D37" i="5" a="1"/>
  <c r="D37" i="5" s="1"/>
  <c r="E36" i="5" a="1"/>
  <c r="E36" i="5" s="1"/>
  <c r="D36" i="5" a="1"/>
  <c r="D36" i="5" s="1"/>
  <c r="E35" i="5" a="1"/>
  <c r="E35" i="5" s="1"/>
  <c r="D35" i="5" a="1"/>
  <c r="D35" i="5" s="1"/>
  <c r="E34" i="5" a="1"/>
  <c r="E34" i="5" s="1"/>
  <c r="D34" i="5" a="1"/>
  <c r="D34" i="5" s="1"/>
  <c r="E33" i="5" a="1"/>
  <c r="E33" i="5" s="1"/>
  <c r="D33" i="5" a="1"/>
  <c r="D33" i="5" s="1"/>
  <c r="E27" i="5" a="1"/>
  <c r="E27" i="5" s="1"/>
  <c r="D27" i="5" a="1"/>
  <c r="D27" i="5" s="1"/>
  <c r="E26" i="5" a="1"/>
  <c r="E26" i="5" s="1"/>
  <c r="D26" i="5" a="1"/>
  <c r="D26" i="5" s="1"/>
  <c r="E25" i="5" a="1"/>
  <c r="E25" i="5" s="1"/>
  <c r="D25" i="5" a="1"/>
  <c r="D25" i="5" s="1"/>
  <c r="E24" i="5" a="1"/>
  <c r="E24" i="5" s="1"/>
  <c r="D24" i="5" a="1"/>
  <c r="D24" i="5" s="1"/>
  <c r="E23" i="5" a="1"/>
  <c r="E23" i="5" s="1"/>
  <c r="D23" i="5" a="1"/>
  <c r="D23" i="5" s="1"/>
  <c r="E22" i="5" a="1"/>
  <c r="E22" i="5" s="1"/>
  <c r="D22" i="5" a="1"/>
  <c r="D22" i="5" s="1"/>
  <c r="E21" i="5" a="1"/>
  <c r="E21" i="5" s="1"/>
  <c r="D21" i="5" a="1"/>
  <c r="D21" i="5" s="1"/>
  <c r="E20" i="5" a="1"/>
  <c r="E20" i="5" s="1"/>
  <c r="D20" i="5" a="1"/>
  <c r="D20" i="5" s="1"/>
  <c r="E13" i="5" a="1"/>
  <c r="E13" i="5" s="1"/>
  <c r="D13" i="5" a="1"/>
  <c r="D13" i="5" s="1"/>
  <c r="E12" i="5" a="1"/>
  <c r="E12" i="5" s="1"/>
  <c r="D12" i="5" a="1"/>
  <c r="D12" i="5" s="1"/>
  <c r="E11" i="5" a="1"/>
  <c r="E11" i="5" s="1"/>
  <c r="D11" i="5" a="1"/>
  <c r="D11" i="5" s="1"/>
  <c r="E10" i="5" a="1"/>
  <c r="E10" i="5" s="1"/>
  <c r="D10" i="5" a="1"/>
  <c r="D10" i="5" s="1"/>
  <c r="E9" i="5" a="1"/>
  <c r="E9" i="5" s="1"/>
  <c r="D9" i="5" a="1"/>
  <c r="D9" i="5" s="1"/>
  <c r="E8" i="5" a="1"/>
  <c r="E8" i="5" s="1"/>
  <c r="D8" i="5" a="1"/>
  <c r="D8" i="5" s="1"/>
  <c r="E7" i="5" a="1"/>
  <c r="E7" i="5" s="1"/>
  <c r="D7" i="5" a="1"/>
  <c r="D7" i="5" s="1"/>
  <c r="E6" i="5" a="1"/>
  <c r="E6" i="5" s="1"/>
  <c r="D6" i="5" a="1"/>
  <c r="D6" i="5" s="1"/>
  <c r="E5" i="5" a="1"/>
  <c r="E5" i="5" s="1"/>
  <c r="D5" i="5" a="1"/>
  <c r="D5" i="5" s="1"/>
  <c r="E4" i="5" a="1"/>
  <c r="E4" i="5" s="1"/>
  <c r="F21" i="2" l="1"/>
  <c r="E21" i="2"/>
  <c r="D21" i="2"/>
  <c r="F20" i="2"/>
  <c r="E20" i="2"/>
  <c r="D20" i="2"/>
  <c r="F19" i="2"/>
  <c r="E19" i="2"/>
  <c r="D19" i="2"/>
  <c r="F18" i="2"/>
  <c r="E18" i="2"/>
  <c r="D18" i="2"/>
  <c r="N16" i="2"/>
  <c r="M16" i="2"/>
  <c r="L16" i="2"/>
  <c r="N17" i="2"/>
  <c r="M17" i="2"/>
  <c r="L17" i="2"/>
  <c r="N15" i="2"/>
  <c r="M15" i="2"/>
  <c r="L15" i="2"/>
  <c r="J16" i="2"/>
  <c r="I16" i="2"/>
  <c r="H16" i="2"/>
  <c r="J15" i="2"/>
  <c r="I15" i="2"/>
  <c r="H15" i="2"/>
  <c r="F16" i="2"/>
  <c r="E16" i="2"/>
  <c r="D16" i="2"/>
  <c r="F15" i="2"/>
  <c r="E15" i="2"/>
  <c r="D15" i="2"/>
  <c r="L14" i="2"/>
  <c r="N14" i="2"/>
  <c r="M14" i="2"/>
  <c r="N13" i="2"/>
  <c r="M13" i="2"/>
  <c r="L13" i="2"/>
  <c r="N12" i="2"/>
  <c r="M12" i="2"/>
  <c r="L12" i="2"/>
  <c r="N11" i="2"/>
  <c r="M11" i="2"/>
  <c r="L11" i="2"/>
  <c r="J12" i="2"/>
  <c r="I12" i="2"/>
  <c r="H12" i="2"/>
  <c r="J11" i="2"/>
  <c r="I11" i="2"/>
  <c r="H11" i="2"/>
  <c r="F13" i="2"/>
  <c r="E13" i="2"/>
  <c r="D13" i="2"/>
  <c r="F12" i="2"/>
  <c r="E12" i="2"/>
  <c r="D12" i="2"/>
  <c r="F11" i="2"/>
  <c r="E11" i="2"/>
  <c r="D11" i="2"/>
  <c r="N9" i="2"/>
  <c r="M9" i="2"/>
  <c r="L9" i="2"/>
  <c r="N8" i="2"/>
  <c r="M8" i="2"/>
  <c r="L8" i="2"/>
  <c r="J9" i="2"/>
  <c r="I9" i="2"/>
  <c r="H9" i="2"/>
  <c r="J8" i="2"/>
  <c r="I8" i="2"/>
  <c r="H8" i="2"/>
  <c r="F10" i="2"/>
  <c r="E10" i="2"/>
  <c r="D10" i="2"/>
  <c r="F9" i="2"/>
  <c r="E9" i="2"/>
  <c r="D9" i="2"/>
  <c r="F8" i="2"/>
  <c r="E8" i="2"/>
  <c r="D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<sst xmlns="http://schemas.openxmlformats.org/spreadsheetml/2006/main" count="3657" uniqueCount="1151">
  <si>
    <t>Work</t>
  </si>
  <si>
    <t>Rewards</t>
  </si>
  <si>
    <t>Benefits</t>
  </si>
  <si>
    <t>S</t>
  </si>
  <si>
    <t>M</t>
  </si>
  <si>
    <t>L</t>
  </si>
  <si>
    <t>Transforming work and total rewards</t>
  </si>
  <si>
    <t>Redesign of the where, when and how of work</t>
  </si>
  <si>
    <t>Realignment of performance management and rewards to support work transformation</t>
  </si>
  <si>
    <t xml:space="preserve">Fairness, flexibility, personalisation and inclusion of safety, leave, benefits and other wellbeing programs </t>
  </si>
  <si>
    <t>Redesign of job, skills and career architecture to align with talent and reward processes</t>
  </si>
  <si>
    <t>Transition to a skills-based pay approach</t>
  </si>
  <si>
    <t>Programs that address mental stress and enable social connectivity</t>
  </si>
  <si>
    <t>Reskilling / upskilling programs and diverse career pathways to enable new work models</t>
  </si>
  <si>
    <t>Employee wellbeing and resilience</t>
  </si>
  <si>
    <t xml:space="preserve">Inclusive, equitable career growth and skills development programs </t>
  </si>
  <si>
    <t>Living wages and fair pay policies and practices</t>
  </si>
  <si>
    <t xml:space="preserve">Minimum levels, coverage and equitability / inclusiveness of core benefits </t>
  </si>
  <si>
    <t xml:space="preserve">Support for manager wellbeing </t>
  </si>
  <si>
    <t>Alignment of executive / manager compensation with ESG / sustainability goals</t>
  </si>
  <si>
    <t>Digital, virtual and personalised delivery of programs</t>
  </si>
  <si>
    <t xml:space="preserve">Leadership capability to manage through change and build a high-performing culture </t>
  </si>
  <si>
    <t>Comprehensive approach to physical, emotional, financial and social health</t>
  </si>
  <si>
    <t>Leader and manager sponsorship, advocacy and accountability for wellbeing</t>
  </si>
  <si>
    <t>Cost optimisation</t>
  </si>
  <si>
    <t xml:space="preserve">Investments in acquisition and development of critical talent and skills </t>
  </si>
  <si>
    <t>Balance of flexibility of pay with employees’ desire for financial stability</t>
  </si>
  <si>
    <t>Sustainability of benefits costs to manage through economic cycles</t>
  </si>
  <si>
    <t>Rethinking talent sources / locations, technology and the where of work</t>
  </si>
  <si>
    <t>Adjustments to compensation approach for flexible work (e.g., geographic differentials)</t>
  </si>
  <si>
    <t xml:space="preserve">Realignment of benefits portfolio with employee preferences, needs and values </t>
  </si>
  <si>
    <t>Optimal financing and active management of health and pension costs</t>
  </si>
  <si>
    <t>Cross-theme</t>
  </si>
  <si>
    <t>Human capital and benefits data insights to drive informed business decisions</t>
  </si>
  <si>
    <t>Ongoing employee listening to create a high-performing employee experience</t>
  </si>
  <si>
    <t>Sustainable human capital measurement and actions</t>
  </si>
  <si>
    <t>Operational discipline and governance of policy decisions and actions</t>
  </si>
  <si>
    <t>responseid</t>
  </si>
  <si>
    <t>respid</t>
  </si>
  <si>
    <t>interview_start</t>
  </si>
  <si>
    <t>interview_end</t>
  </si>
  <si>
    <t>status</t>
  </si>
  <si>
    <t>dErr_1</t>
  </si>
  <si>
    <t>dErr_2</t>
  </si>
  <si>
    <t>dErr_3</t>
  </si>
  <si>
    <t>dErr_404</t>
  </si>
  <si>
    <t>dActTime_1</t>
  </si>
  <si>
    <t>dActTimemmss_1</t>
  </si>
  <si>
    <t>Company</t>
  </si>
  <si>
    <t>email</t>
  </si>
  <si>
    <t>CompanyName</t>
  </si>
  <si>
    <t>CompanyCode</t>
  </si>
  <si>
    <t>CountryCode</t>
  </si>
  <si>
    <t>Name</t>
  </si>
  <si>
    <t>Country</t>
  </si>
  <si>
    <t>dcpUrl</t>
  </si>
  <si>
    <t>SurveyLink</t>
  </si>
  <si>
    <t>Pass1</t>
  </si>
  <si>
    <t>GEN_INF_1</t>
  </si>
  <si>
    <t>GEN_INF_2</t>
  </si>
  <si>
    <t>GEN_INF_6</t>
  </si>
  <si>
    <t>Q1a_w1</t>
  </si>
  <si>
    <t>Q1a_w2</t>
  </si>
  <si>
    <t>Q1a_w3</t>
  </si>
  <si>
    <t>Q1a_r1</t>
  </si>
  <si>
    <t>Q1a_r2</t>
  </si>
  <si>
    <t>Q1a_b1</t>
  </si>
  <si>
    <t>Q1a_b2</t>
  </si>
  <si>
    <t>Q1a_Comment_w1</t>
  </si>
  <si>
    <t>Q1a_Comment_w2</t>
  </si>
  <si>
    <t>Q1a_Comment_w3</t>
  </si>
  <si>
    <t>Q1a_Comment_r1</t>
  </si>
  <si>
    <t>Q1a_Comment_r2</t>
  </si>
  <si>
    <t>Q1a_Comment_b1</t>
  </si>
  <si>
    <t>Q1a_Comment_b2</t>
  </si>
  <si>
    <t>Q2a_w4</t>
  </si>
  <si>
    <t>Q2a_w5</t>
  </si>
  <si>
    <t>Q2a_w6</t>
  </si>
  <si>
    <t>Q2a_r3</t>
  </si>
  <si>
    <t>Q2a_r4</t>
  </si>
  <si>
    <t>Q2a_b3</t>
  </si>
  <si>
    <t>Q2a_b4</t>
  </si>
  <si>
    <t>Q2a_b5</t>
  </si>
  <si>
    <t>Q2a_b6</t>
  </si>
  <si>
    <t>Q2a_Comment_w4</t>
  </si>
  <si>
    <t>Q2a_Comment_w5</t>
  </si>
  <si>
    <t>Q2a_Comment_w6</t>
  </si>
  <si>
    <t>Q2a_Comment_r3</t>
  </si>
  <si>
    <t>Q2a_Comment_r4</t>
  </si>
  <si>
    <t>Q2a_Comment_b3</t>
  </si>
  <si>
    <t>Q2a_Comment_b4</t>
  </si>
  <si>
    <t>Q2a_Comment_b5</t>
  </si>
  <si>
    <t>Q2a_Comment_b6</t>
  </si>
  <si>
    <t>Q3a_w7</t>
  </si>
  <si>
    <t>Q3a_w8</t>
  </si>
  <si>
    <t>Q3a_r5</t>
  </si>
  <si>
    <t>Q3a_r6</t>
  </si>
  <si>
    <t>Q3a_b7</t>
  </si>
  <si>
    <t>Q3a_b8</t>
  </si>
  <si>
    <t>Q3a_b9</t>
  </si>
  <si>
    <t>Q3a_Comment_w7</t>
  </si>
  <si>
    <t>Q3a_Comment_w8</t>
  </si>
  <si>
    <t>Q3a_Comment_r5</t>
  </si>
  <si>
    <t>Q3a_Comment_r6</t>
  </si>
  <si>
    <t>Q3a_Comment_b7</t>
  </si>
  <si>
    <t>Q3a_Comment_b8</t>
  </si>
  <si>
    <t>Q3a_Comment_b9</t>
  </si>
  <si>
    <t>Q4a_ct0</t>
  </si>
  <si>
    <t>Q4a_ct1</t>
  </si>
  <si>
    <t>Q4a_ct2</t>
  </si>
  <si>
    <t>Q4a_ct3</t>
  </si>
  <si>
    <t>Q4a_Comment_ct0</t>
  </si>
  <si>
    <t>Q4a_Comment_ct1</t>
  </si>
  <si>
    <t>Q4a_Comment_ct2</t>
  </si>
  <si>
    <t>Q4a_Comment_ct3</t>
  </si>
  <si>
    <t>W1_8_other</t>
  </si>
  <si>
    <t>W1_9_other</t>
  </si>
  <si>
    <t>W1_10_other</t>
  </si>
  <si>
    <t>q51_1</t>
  </si>
  <si>
    <t>q51_2</t>
  </si>
  <si>
    <t>q51_3</t>
  </si>
  <si>
    <t>q51_4</t>
  </si>
  <si>
    <t>q51_5</t>
  </si>
  <si>
    <t>q51_6</t>
  </si>
  <si>
    <t>q51_7</t>
  </si>
  <si>
    <t>q51_8</t>
  </si>
  <si>
    <t>q51_9</t>
  </si>
  <si>
    <t>q51_10</t>
  </si>
  <si>
    <t>CS1_Comment_1</t>
  </si>
  <si>
    <t>CS1_Comment_2</t>
  </si>
  <si>
    <t>CS1_Comment_3</t>
  </si>
  <si>
    <t>CS1_Comment_4</t>
  </si>
  <si>
    <t>CS1_Comment_5</t>
  </si>
  <si>
    <t>CS1_Comment_6</t>
  </si>
  <si>
    <t>CS1_Comment_7</t>
  </si>
  <si>
    <t>CS1_Comment_8</t>
  </si>
  <si>
    <t>CS1_Comment_9</t>
  </si>
  <si>
    <t>CS1_Comment_10</t>
  </si>
  <si>
    <t>W2_6_other</t>
  </si>
  <si>
    <t>W2_7_other</t>
  </si>
  <si>
    <t>W2_8_other</t>
  </si>
  <si>
    <t>q52_1</t>
  </si>
  <si>
    <t>q52_2</t>
  </si>
  <si>
    <t>q52_3</t>
  </si>
  <si>
    <t>q52_4</t>
  </si>
  <si>
    <t>q52_5</t>
  </si>
  <si>
    <t>q52_6</t>
  </si>
  <si>
    <t>q52_7</t>
  </si>
  <si>
    <t>q52_8</t>
  </si>
  <si>
    <t>Q5a_Comment_1</t>
  </si>
  <si>
    <t>Q5a_Comment_2</t>
  </si>
  <si>
    <t>Q5a_Comment_3</t>
  </si>
  <si>
    <t>Q5a_Comment_4</t>
  </si>
  <si>
    <t>Q5a_Comment_5</t>
  </si>
  <si>
    <t>Q5a_Comment_6</t>
  </si>
  <si>
    <t>Q5a_Comment_7</t>
  </si>
  <si>
    <t>Q5a_Comment_8</t>
  </si>
  <si>
    <t>W3_8_other</t>
  </si>
  <si>
    <t>W3_9_other</t>
  </si>
  <si>
    <t>W3_10_other</t>
  </si>
  <si>
    <t>q53_1</t>
  </si>
  <si>
    <t>q53_2</t>
  </si>
  <si>
    <t>q53_3</t>
  </si>
  <si>
    <t>q53_4</t>
  </si>
  <si>
    <t>q53_5</t>
  </si>
  <si>
    <t>q53_6</t>
  </si>
  <si>
    <t>q53_7</t>
  </si>
  <si>
    <t>q53_8</t>
  </si>
  <si>
    <t>q53_9</t>
  </si>
  <si>
    <t>q53_10</t>
  </si>
  <si>
    <t>Q6a_Comment_1</t>
  </si>
  <si>
    <t>Q6a_Comment_2</t>
  </si>
  <si>
    <t>Q6a_Comment_3</t>
  </si>
  <si>
    <t>Q6a_Comment_4</t>
  </si>
  <si>
    <t>Q6a_Comment_5</t>
  </si>
  <si>
    <t>Q6a_Comment_6</t>
  </si>
  <si>
    <t>Q6a_Comment_7</t>
  </si>
  <si>
    <t>Q6a_Comment_8</t>
  </si>
  <si>
    <t>Q6a_Comment_9</t>
  </si>
  <si>
    <t>Q6a_Comment_10</t>
  </si>
  <si>
    <t>W4_8_other</t>
  </si>
  <si>
    <t>W4_9_other</t>
  </si>
  <si>
    <t>W4_10_other</t>
  </si>
  <si>
    <t>q54_1</t>
  </si>
  <si>
    <t>q54_2</t>
  </si>
  <si>
    <t>q54_3</t>
  </si>
  <si>
    <t>q54_4</t>
  </si>
  <si>
    <t>q54_5</t>
  </si>
  <si>
    <t>q54_6</t>
  </si>
  <si>
    <t>q54_7</t>
  </si>
  <si>
    <t>q54_8</t>
  </si>
  <si>
    <t>q54_9</t>
  </si>
  <si>
    <t>q54_10</t>
  </si>
  <si>
    <t>Q7_Comment_1</t>
  </si>
  <si>
    <t>Q7_Comment_2</t>
  </si>
  <si>
    <t>Q7_Comment_3</t>
  </si>
  <si>
    <t>Q7_Comment_4</t>
  </si>
  <si>
    <t>Q7_Comment_5</t>
  </si>
  <si>
    <t>Q7_Comment_6</t>
  </si>
  <si>
    <t>Q7_Comment_7</t>
  </si>
  <si>
    <t>Q7_Comment_8</t>
  </si>
  <si>
    <t>Q7_Comment_9</t>
  </si>
  <si>
    <t>Q7_Comment_10</t>
  </si>
  <si>
    <t>W5_9_other</t>
  </si>
  <si>
    <t>W5_10_other</t>
  </si>
  <si>
    <t>W5_11_other</t>
  </si>
  <si>
    <t>q55_1</t>
  </si>
  <si>
    <t>q55_2</t>
  </si>
  <si>
    <t>q55_3</t>
  </si>
  <si>
    <t>q55_4</t>
  </si>
  <si>
    <t>q55_5</t>
  </si>
  <si>
    <t>q55_6</t>
  </si>
  <si>
    <t>q55_7</t>
  </si>
  <si>
    <t>q55_8</t>
  </si>
  <si>
    <t>q55_9</t>
  </si>
  <si>
    <t>q55_10</t>
  </si>
  <si>
    <t>q55_11</t>
  </si>
  <si>
    <t>Q8_Comment_1</t>
  </si>
  <si>
    <t>Q8_Comment_2</t>
  </si>
  <si>
    <t>Q8_Comment_3</t>
  </si>
  <si>
    <t>Q8_Comment_4</t>
  </si>
  <si>
    <t>Q8_Comment_5</t>
  </si>
  <si>
    <t>Q8_Comment_6</t>
  </si>
  <si>
    <t>Q8_Comment_7</t>
  </si>
  <si>
    <t>Q8_Comment_8</t>
  </si>
  <si>
    <t>Q8_Comment_9</t>
  </si>
  <si>
    <t>Q8_Comment_10</t>
  </si>
  <si>
    <t>Q8_Comment_11</t>
  </si>
  <si>
    <t>W6_6_other</t>
  </si>
  <si>
    <t>W6_7_other</t>
  </si>
  <si>
    <t>W6_8_other</t>
  </si>
  <si>
    <t>q56_1</t>
  </si>
  <si>
    <t>q56_2</t>
  </si>
  <si>
    <t>q56_3</t>
  </si>
  <si>
    <t>q56_4</t>
  </si>
  <si>
    <t>q56_5</t>
  </si>
  <si>
    <t>q56_6</t>
  </si>
  <si>
    <t>q56_7</t>
  </si>
  <si>
    <t>q56_8</t>
  </si>
  <si>
    <t>Q9_Comment_1</t>
  </si>
  <si>
    <t>Q9_Comment_2</t>
  </si>
  <si>
    <t>Q9_Comment_3</t>
  </si>
  <si>
    <t>Q9_Comment_4</t>
  </si>
  <si>
    <t>Q9_Comment_5</t>
  </si>
  <si>
    <t>Q9_Comment_6</t>
  </si>
  <si>
    <t>Q9_Comment_7</t>
  </si>
  <si>
    <t>Q9_Comment_8</t>
  </si>
  <si>
    <t>W7_6_other</t>
  </si>
  <si>
    <t>W7_7_other</t>
  </si>
  <si>
    <t>W7_8_other</t>
  </si>
  <si>
    <t>q57_1</t>
  </si>
  <si>
    <t>q57_2</t>
  </si>
  <si>
    <t>q57_3</t>
  </si>
  <si>
    <t>q57_4</t>
  </si>
  <si>
    <t>q57_5</t>
  </si>
  <si>
    <t>q57_6</t>
  </si>
  <si>
    <t>q57_7</t>
  </si>
  <si>
    <t>q57_8</t>
  </si>
  <si>
    <t>Q10_Comment_1</t>
  </si>
  <si>
    <t>Q10_Comment_2</t>
  </si>
  <si>
    <t>Q10_Comment_3</t>
  </si>
  <si>
    <t>Q10_Comment_4</t>
  </si>
  <si>
    <t>Q10_Comment_5</t>
  </si>
  <si>
    <t>Q10_Comment_6</t>
  </si>
  <si>
    <t>Q10_Comment_7</t>
  </si>
  <si>
    <t>Q10_Comment_8</t>
  </si>
  <si>
    <t>W8_6_other</t>
  </si>
  <si>
    <t>W8_7_other</t>
  </si>
  <si>
    <t>W8_8_other</t>
  </si>
  <si>
    <t>q77_1</t>
  </si>
  <si>
    <t>q77_2</t>
  </si>
  <si>
    <t>q77_3</t>
  </si>
  <si>
    <t>q77_4</t>
  </si>
  <si>
    <t>q77_5</t>
  </si>
  <si>
    <t>q77_6</t>
  </si>
  <si>
    <t>q77_7</t>
  </si>
  <si>
    <t>q77_8</t>
  </si>
  <si>
    <t>Q11_Comment_1</t>
  </si>
  <si>
    <t>Q11_Comment_2</t>
  </si>
  <si>
    <t>Q11_Comment_3</t>
  </si>
  <si>
    <t>Q11_Comment_4</t>
  </si>
  <si>
    <t>Q11_Comment_5</t>
  </si>
  <si>
    <t>Q11_Comment_6</t>
  </si>
  <si>
    <t>Q11_Comment_7</t>
  </si>
  <si>
    <t>Q11_Comment_8</t>
  </si>
  <si>
    <t>R1_9_other</t>
  </si>
  <si>
    <t>R1_10_other</t>
  </si>
  <si>
    <t>R1_11_other</t>
  </si>
  <si>
    <t>q76_1</t>
  </si>
  <si>
    <t>q76_2</t>
  </si>
  <si>
    <t>q76_3</t>
  </si>
  <si>
    <t>q76_4</t>
  </si>
  <si>
    <t>q76_5</t>
  </si>
  <si>
    <t>q76_6</t>
  </si>
  <si>
    <t>q76_7</t>
  </si>
  <si>
    <t>q76_8</t>
  </si>
  <si>
    <t>q76_9</t>
  </si>
  <si>
    <t>q76_10</t>
  </si>
  <si>
    <t>q76_11</t>
  </si>
  <si>
    <t>Q12_Comment_1</t>
  </si>
  <si>
    <t>Q12_Comment_2</t>
  </si>
  <si>
    <t>Q12_Comment_3</t>
  </si>
  <si>
    <t>Q12_Comment_4</t>
  </si>
  <si>
    <t>Q12_Comment_5</t>
  </si>
  <si>
    <t>Q12_Comment_6</t>
  </si>
  <si>
    <t>Q12_Comment_7</t>
  </si>
  <si>
    <t>Q12_Comment_8</t>
  </si>
  <si>
    <t>Q12_Comment_9</t>
  </si>
  <si>
    <t>Q12_Comment_10</t>
  </si>
  <si>
    <t>Q12_Comment_11</t>
  </si>
  <si>
    <t>R2_7_other</t>
  </si>
  <si>
    <t>R2_8_other</t>
  </si>
  <si>
    <t>R2_9_other</t>
  </si>
  <si>
    <t>q75_1</t>
  </si>
  <si>
    <t>q75_2</t>
  </si>
  <si>
    <t>q75_3</t>
  </si>
  <si>
    <t>q75_4</t>
  </si>
  <si>
    <t>q75_5</t>
  </si>
  <si>
    <t>q75_6</t>
  </si>
  <si>
    <t>q75_7</t>
  </si>
  <si>
    <t>q75_8</t>
  </si>
  <si>
    <t>q75_9</t>
  </si>
  <si>
    <t>Q13_Comment_1</t>
  </si>
  <si>
    <t>Q13_Comment_2</t>
  </si>
  <si>
    <t>Q13_Comment_3</t>
  </si>
  <si>
    <t>Q13_Comment_4</t>
  </si>
  <si>
    <t>Q13_Comment_5</t>
  </si>
  <si>
    <t>Q13_Comment_6</t>
  </si>
  <si>
    <t>Q13_Comment_7</t>
  </si>
  <si>
    <t>Q13_Comment_8</t>
  </si>
  <si>
    <t>Q13_Comment_9</t>
  </si>
  <si>
    <t>R3_12_other</t>
  </si>
  <si>
    <t>R3_13_other</t>
  </si>
  <si>
    <t>R3_14_other</t>
  </si>
  <si>
    <t>q74_1</t>
  </si>
  <si>
    <t>q74_2</t>
  </si>
  <si>
    <t>q74_3</t>
  </si>
  <si>
    <t>q74_4</t>
  </si>
  <si>
    <t>q74_5</t>
  </si>
  <si>
    <t>q74_6</t>
  </si>
  <si>
    <t>q74_7</t>
  </si>
  <si>
    <t>q74_8</t>
  </si>
  <si>
    <t>q74_9</t>
  </si>
  <si>
    <t>q74_10</t>
  </si>
  <si>
    <t>q74_11</t>
  </si>
  <si>
    <t>q74_12</t>
  </si>
  <si>
    <t>q74_13</t>
  </si>
  <si>
    <t>q74_14</t>
  </si>
  <si>
    <t>Q14_Comment_1</t>
  </si>
  <si>
    <t>Q14_Comment_2</t>
  </si>
  <si>
    <t>Q14_Comment_3</t>
  </si>
  <si>
    <t>Q14_Comment_4</t>
  </si>
  <si>
    <t>Q14_Comment_5</t>
  </si>
  <si>
    <t>Q14_Comment_6</t>
  </si>
  <si>
    <t>Q14_Comment_7</t>
  </si>
  <si>
    <t>Q14_Comment_8</t>
  </si>
  <si>
    <t>Q14_Comment_9</t>
  </si>
  <si>
    <t>Q14_Comment_10</t>
  </si>
  <si>
    <t>Q14_Comment_11</t>
  </si>
  <si>
    <t>Q14_Comment_12</t>
  </si>
  <si>
    <t>Q14_Comment_13</t>
  </si>
  <si>
    <t>Q14_Comment_14</t>
  </si>
  <si>
    <t>R4_4_other</t>
  </si>
  <si>
    <t>R4_5_other</t>
  </si>
  <si>
    <t>R4_6_other</t>
  </si>
  <si>
    <t>q73_1</t>
  </si>
  <si>
    <t>q73_2</t>
  </si>
  <si>
    <t>q73_3</t>
  </si>
  <si>
    <t>q73_4</t>
  </si>
  <si>
    <t>q73_5</t>
  </si>
  <si>
    <t>q73_6</t>
  </si>
  <si>
    <t>Q15_Comment_1</t>
  </si>
  <si>
    <t>Q15_Comment_2</t>
  </si>
  <si>
    <t>Q15_Comment_3</t>
  </si>
  <si>
    <t>Q15_Comment_4</t>
  </si>
  <si>
    <t>Q15_Comment_5</t>
  </si>
  <si>
    <t>Q15_Comment_6</t>
  </si>
  <si>
    <t>R5_6_other</t>
  </si>
  <si>
    <t>R5_7_other</t>
  </si>
  <si>
    <t>R5_8_other</t>
  </si>
  <si>
    <t>q72_1</t>
  </si>
  <si>
    <t>q72_2</t>
  </si>
  <si>
    <t>q72_3</t>
  </si>
  <si>
    <t>q72_4</t>
  </si>
  <si>
    <t>q72_5</t>
  </si>
  <si>
    <t>q72_6</t>
  </si>
  <si>
    <t>q72_7</t>
  </si>
  <si>
    <t>q72_8</t>
  </si>
  <si>
    <t>Q16_Comment_1</t>
  </si>
  <si>
    <t>Q16_Comment_2</t>
  </si>
  <si>
    <t>Q16_Comment_3</t>
  </si>
  <si>
    <t>Q16_Comment_4</t>
  </si>
  <si>
    <t>Q16_Comment_5</t>
  </si>
  <si>
    <t>Q16_Comment_6</t>
  </si>
  <si>
    <t>Q16_Comment_7</t>
  </si>
  <si>
    <t>Q16_Comment_8</t>
  </si>
  <si>
    <t>R6_4_other</t>
  </si>
  <si>
    <t>R6_5_other</t>
  </si>
  <si>
    <t>R6_6_other</t>
  </si>
  <si>
    <t>q71_1</t>
  </si>
  <si>
    <t>q71_2</t>
  </si>
  <si>
    <t>q71_3</t>
  </si>
  <si>
    <t>q71_4</t>
  </si>
  <si>
    <t>q71_5</t>
  </si>
  <si>
    <t>q71_6</t>
  </si>
  <si>
    <t>q120_1</t>
  </si>
  <si>
    <t>q120_2</t>
  </si>
  <si>
    <t>q120_3</t>
  </si>
  <si>
    <t>q120_4</t>
  </si>
  <si>
    <t>q120_5</t>
  </si>
  <si>
    <t>q120_6</t>
  </si>
  <si>
    <t>B1_11_other</t>
  </si>
  <si>
    <t>B1_12_other</t>
  </si>
  <si>
    <t>B1_13_other</t>
  </si>
  <si>
    <t>q70_1</t>
  </si>
  <si>
    <t>q70_2</t>
  </si>
  <si>
    <t>q70_3</t>
  </si>
  <si>
    <t>q70_4</t>
  </si>
  <si>
    <t>q70_5</t>
  </si>
  <si>
    <t>q70_6</t>
  </si>
  <si>
    <t>q70_7</t>
  </si>
  <si>
    <t>q70_8</t>
  </si>
  <si>
    <t>q70_9</t>
  </si>
  <si>
    <t>q70_10</t>
  </si>
  <si>
    <t>q70_11</t>
  </si>
  <si>
    <t>q70_12</t>
  </si>
  <si>
    <t>q70_13</t>
  </si>
  <si>
    <t>q125_1</t>
  </si>
  <si>
    <t>q125_2</t>
  </si>
  <si>
    <t>q125_3</t>
  </si>
  <si>
    <t>q125_4</t>
  </si>
  <si>
    <t>q125_5</t>
  </si>
  <si>
    <t>q125_6</t>
  </si>
  <si>
    <t>q125_7</t>
  </si>
  <si>
    <t>q125_8</t>
  </si>
  <si>
    <t>q125_9</t>
  </si>
  <si>
    <t>q125_10</t>
  </si>
  <si>
    <t>q125_11</t>
  </si>
  <si>
    <t>q125_12</t>
  </si>
  <si>
    <t>q125_13</t>
  </si>
  <si>
    <t>B2_7_other</t>
  </si>
  <si>
    <t>B2_8_other</t>
  </si>
  <si>
    <t>B2_9_other</t>
  </si>
  <si>
    <t>q58_1</t>
  </si>
  <si>
    <t>q58_2</t>
  </si>
  <si>
    <t>q58_3</t>
  </si>
  <si>
    <t>q58_4</t>
  </si>
  <si>
    <t>q58_5</t>
  </si>
  <si>
    <t>q58_6</t>
  </si>
  <si>
    <t>q58_7</t>
  </si>
  <si>
    <t>q58_8</t>
  </si>
  <si>
    <t>q58_9</t>
  </si>
  <si>
    <t>q130_1</t>
  </si>
  <si>
    <t>q130_2</t>
  </si>
  <si>
    <t>q130_3</t>
  </si>
  <si>
    <t>q130_4</t>
  </si>
  <si>
    <t>q130_5</t>
  </si>
  <si>
    <t>q130_6</t>
  </si>
  <si>
    <t>q130_7</t>
  </si>
  <si>
    <t>q130_8</t>
  </si>
  <si>
    <t>q130_9</t>
  </si>
  <si>
    <t>B3_9_other</t>
  </si>
  <si>
    <t>B3_10_other</t>
  </si>
  <si>
    <t>B3_11_other</t>
  </si>
  <si>
    <t>asf_1</t>
  </si>
  <si>
    <t>asf_2</t>
  </si>
  <si>
    <t>asf_3</t>
  </si>
  <si>
    <t>asf_4</t>
  </si>
  <si>
    <t>asf_5</t>
  </si>
  <si>
    <t>asf_6</t>
  </si>
  <si>
    <t>asf_7</t>
  </si>
  <si>
    <t>asf_8</t>
  </si>
  <si>
    <t>asf_9</t>
  </si>
  <si>
    <t>asf_10</t>
  </si>
  <si>
    <t>asf_11</t>
  </si>
  <si>
    <t>q135_1</t>
  </si>
  <si>
    <t>q135_2</t>
  </si>
  <si>
    <t>q135_3</t>
  </si>
  <si>
    <t>q135_4</t>
  </si>
  <si>
    <t>q135_5</t>
  </si>
  <si>
    <t>q135_6</t>
  </si>
  <si>
    <t>q135_7</t>
  </si>
  <si>
    <t>q135_8</t>
  </si>
  <si>
    <t>q135_9</t>
  </si>
  <si>
    <t>q135_10</t>
  </si>
  <si>
    <t>q135_11</t>
  </si>
  <si>
    <t>B4_11_other</t>
  </si>
  <si>
    <t>B4_12_other</t>
  </si>
  <si>
    <t>B4_13_other</t>
  </si>
  <si>
    <t>q60_1</t>
  </si>
  <si>
    <t>q60_2</t>
  </si>
  <si>
    <t>q60_3</t>
  </si>
  <si>
    <t>q60_4</t>
  </si>
  <si>
    <t>q60_5</t>
  </si>
  <si>
    <t>q60_6</t>
  </si>
  <si>
    <t>q60_7</t>
  </si>
  <si>
    <t>q60_8</t>
  </si>
  <si>
    <t>q60_9</t>
  </si>
  <si>
    <t>q60_10</t>
  </si>
  <si>
    <t>q60_11</t>
  </si>
  <si>
    <t>q60_12</t>
  </si>
  <si>
    <t>q60_13</t>
  </si>
  <si>
    <t>q140_1</t>
  </si>
  <si>
    <t>q140_2</t>
  </si>
  <si>
    <t>q140_3</t>
  </si>
  <si>
    <t>q140_4</t>
  </si>
  <si>
    <t>q140_5</t>
  </si>
  <si>
    <t>q140_6</t>
  </si>
  <si>
    <t>q140_7</t>
  </si>
  <si>
    <t>q140_8</t>
  </si>
  <si>
    <t>q140_9</t>
  </si>
  <si>
    <t>q140_10</t>
  </si>
  <si>
    <t>q140_11</t>
  </si>
  <si>
    <t>q140_12</t>
  </si>
  <si>
    <t>q140_13</t>
  </si>
  <si>
    <t>B5_14_other</t>
  </si>
  <si>
    <t>B5_15_other</t>
  </si>
  <si>
    <t>B5_16_other</t>
  </si>
  <si>
    <t>q61_1</t>
  </si>
  <si>
    <t>q61_2</t>
  </si>
  <si>
    <t>q61_3</t>
  </si>
  <si>
    <t>q61_4</t>
  </si>
  <si>
    <t>q61_5</t>
  </si>
  <si>
    <t>q61_6</t>
  </si>
  <si>
    <t>q61_7</t>
  </si>
  <si>
    <t>q61_8</t>
  </si>
  <si>
    <t>q61_9</t>
  </si>
  <si>
    <t>q61_10</t>
  </si>
  <si>
    <t>q61_11</t>
  </si>
  <si>
    <t>q61_12</t>
  </si>
  <si>
    <t>q61_13</t>
  </si>
  <si>
    <t>q61_14</t>
  </si>
  <si>
    <t>q61_15</t>
  </si>
  <si>
    <t>q61_16</t>
  </si>
  <si>
    <t>q145_1</t>
  </si>
  <si>
    <t>q145_2</t>
  </si>
  <si>
    <t>q145_3</t>
  </si>
  <si>
    <t>q145_4</t>
  </si>
  <si>
    <t>q145_5</t>
  </si>
  <si>
    <t>q145_6</t>
  </si>
  <si>
    <t>q145_7</t>
  </si>
  <si>
    <t>q145_8</t>
  </si>
  <si>
    <t>q145_9</t>
  </si>
  <si>
    <t>q145_10</t>
  </si>
  <si>
    <t>q145_11</t>
  </si>
  <si>
    <t>q145_12</t>
  </si>
  <si>
    <t>q145_13</t>
  </si>
  <si>
    <t>q145_14</t>
  </si>
  <si>
    <t>q145_15</t>
  </si>
  <si>
    <t>q145_16</t>
  </si>
  <si>
    <t>B6_6_other</t>
  </si>
  <si>
    <t>B6_7_other</t>
  </si>
  <si>
    <t>B6_8_other</t>
  </si>
  <si>
    <t>q62_1</t>
  </si>
  <si>
    <t>q62_2</t>
  </si>
  <si>
    <t>q62_3</t>
  </si>
  <si>
    <t>q62_4</t>
  </si>
  <si>
    <t>q62_5</t>
  </si>
  <si>
    <t>q62_6</t>
  </si>
  <si>
    <t>q62_7</t>
  </si>
  <si>
    <t>q62_8</t>
  </si>
  <si>
    <t>q150_1</t>
  </si>
  <si>
    <t>q150_2</t>
  </si>
  <si>
    <t>q150_3</t>
  </si>
  <si>
    <t>q150_4</t>
  </si>
  <si>
    <t>q150_5</t>
  </si>
  <si>
    <t>q150_6</t>
  </si>
  <si>
    <t>q150_7</t>
  </si>
  <si>
    <t>q150_8</t>
  </si>
  <si>
    <t>B7_5_other</t>
  </si>
  <si>
    <t>B7_6_other</t>
  </si>
  <si>
    <t>B7_7_other</t>
  </si>
  <si>
    <t>q63_1</t>
  </si>
  <si>
    <t>q63_2</t>
  </si>
  <si>
    <t>q63_3</t>
  </si>
  <si>
    <t>q63_4</t>
  </si>
  <si>
    <t>q63_5</t>
  </si>
  <si>
    <t>q63_6</t>
  </si>
  <si>
    <t>q63_7</t>
  </si>
  <si>
    <t>q155_1</t>
  </si>
  <si>
    <t>q155_2</t>
  </si>
  <si>
    <t>q155_3</t>
  </si>
  <si>
    <t>q155_4</t>
  </si>
  <si>
    <t>q155_5</t>
  </si>
  <si>
    <t>q155_6</t>
  </si>
  <si>
    <t>q155_7</t>
  </si>
  <si>
    <t>B8_5_other</t>
  </si>
  <si>
    <t>B8_6_other</t>
  </si>
  <si>
    <t>B8_7_other</t>
  </si>
  <si>
    <t>q64_1</t>
  </si>
  <si>
    <t>q64_2</t>
  </si>
  <si>
    <t>q64_3</t>
  </si>
  <si>
    <t>q64_4</t>
  </si>
  <si>
    <t>q64_5</t>
  </si>
  <si>
    <t>q64_6</t>
  </si>
  <si>
    <t>q64_7</t>
  </si>
  <si>
    <t>q160_1</t>
  </si>
  <si>
    <t>q160_2</t>
  </si>
  <si>
    <t>q160_3</t>
  </si>
  <si>
    <t>q160_4</t>
  </si>
  <si>
    <t>q160_5</t>
  </si>
  <si>
    <t>q160_6</t>
  </si>
  <si>
    <t>q160_7</t>
  </si>
  <si>
    <t>B9_10_other</t>
  </si>
  <si>
    <t>B9_11_other</t>
  </si>
  <si>
    <t>B9_12_other</t>
  </si>
  <si>
    <t>q65_1</t>
  </si>
  <si>
    <t>q65_2</t>
  </si>
  <si>
    <t>q65_3</t>
  </si>
  <si>
    <t>q65_4</t>
  </si>
  <si>
    <t>q65_5</t>
  </si>
  <si>
    <t>q65_6</t>
  </si>
  <si>
    <t>q65_7</t>
  </si>
  <si>
    <t>q65_8</t>
  </si>
  <si>
    <t>q65_9</t>
  </si>
  <si>
    <t>q65_10</t>
  </si>
  <si>
    <t>q65_11</t>
  </si>
  <si>
    <t>q65_12</t>
  </si>
  <si>
    <t>q165_1</t>
  </si>
  <si>
    <t>q165_2</t>
  </si>
  <si>
    <t>q165_3</t>
  </si>
  <si>
    <t>q165_4</t>
  </si>
  <si>
    <t>q165_5</t>
  </si>
  <si>
    <t>q165_6</t>
  </si>
  <si>
    <t>q165_7</t>
  </si>
  <si>
    <t>q165_8</t>
  </si>
  <si>
    <t>q165_9</t>
  </si>
  <si>
    <t>q165_10</t>
  </si>
  <si>
    <t>q165_11</t>
  </si>
  <si>
    <t>q165_12</t>
  </si>
  <si>
    <t>CTR0A_5_other</t>
  </si>
  <si>
    <t>CTR0A_6_other</t>
  </si>
  <si>
    <t>CTR0A_7_other</t>
  </si>
  <si>
    <t>q78_1</t>
  </si>
  <si>
    <t>q78_2</t>
  </si>
  <si>
    <t>q78_3</t>
  </si>
  <si>
    <t>q78_4</t>
  </si>
  <si>
    <t>q78_5</t>
  </si>
  <si>
    <t>q78_6</t>
  </si>
  <si>
    <t>q78_7</t>
  </si>
  <si>
    <t>q85_1</t>
  </si>
  <si>
    <t>q85_2</t>
  </si>
  <si>
    <t>q85_3</t>
  </si>
  <si>
    <t>q85_4</t>
  </si>
  <si>
    <t>q85_5</t>
  </si>
  <si>
    <t>q85_6</t>
  </si>
  <si>
    <t>q85_7</t>
  </si>
  <si>
    <t>CTR1A_8_other</t>
  </si>
  <si>
    <t>CTR1A_9_other</t>
  </si>
  <si>
    <t>CTR1A_10_other</t>
  </si>
  <si>
    <t>q66_1</t>
  </si>
  <si>
    <t>q66_2</t>
  </si>
  <si>
    <t>q66_3</t>
  </si>
  <si>
    <t>q66_4</t>
  </si>
  <si>
    <t>q66_5</t>
  </si>
  <si>
    <t>q66_6</t>
  </si>
  <si>
    <t>q66_7</t>
  </si>
  <si>
    <t>q66_8</t>
  </si>
  <si>
    <t>q66_9</t>
  </si>
  <si>
    <t>q66_10</t>
  </si>
  <si>
    <t>q170_1</t>
  </si>
  <si>
    <t>q170_2</t>
  </si>
  <si>
    <t>q170_3</t>
  </si>
  <si>
    <t>q170_4</t>
  </si>
  <si>
    <t>q170_5</t>
  </si>
  <si>
    <t>q170_6</t>
  </si>
  <si>
    <t>q170_7</t>
  </si>
  <si>
    <t>q170_8</t>
  </si>
  <si>
    <t>q170_9</t>
  </si>
  <si>
    <t>q170_10</t>
  </si>
  <si>
    <t>CTR1B_6_other</t>
  </si>
  <si>
    <t>CTR1B_7_other</t>
  </si>
  <si>
    <t>CTR1B_8_other</t>
  </si>
  <si>
    <t>q67_1</t>
  </si>
  <si>
    <t>q67_2</t>
  </si>
  <si>
    <t>q67_3</t>
  </si>
  <si>
    <t>q67_4</t>
  </si>
  <si>
    <t>q67_5</t>
  </si>
  <si>
    <t>q67_6</t>
  </si>
  <si>
    <t>q67_7</t>
  </si>
  <si>
    <t>q67_8</t>
  </si>
  <si>
    <t>q175_1</t>
  </si>
  <si>
    <t>q175_2</t>
  </si>
  <si>
    <t>q175_3</t>
  </si>
  <si>
    <t>q175_4</t>
  </si>
  <si>
    <t>q175_5</t>
  </si>
  <si>
    <t>q175_6</t>
  </si>
  <si>
    <t>q175_7</t>
  </si>
  <si>
    <t>q175_8</t>
  </si>
  <si>
    <t>CTR2A_11_other</t>
  </si>
  <si>
    <t>CTR2A_12_other</t>
  </si>
  <si>
    <t>CTR2A_13_other</t>
  </si>
  <si>
    <t>q68_1</t>
  </si>
  <si>
    <t>q68_2</t>
  </si>
  <si>
    <t>q68_3</t>
  </si>
  <si>
    <t>q68_4</t>
  </si>
  <si>
    <t>q68_5</t>
  </si>
  <si>
    <t>q68_6</t>
  </si>
  <si>
    <t>q68_7</t>
  </si>
  <si>
    <t>q68_8</t>
  </si>
  <si>
    <t>q68_9</t>
  </si>
  <si>
    <t>q68_10</t>
  </si>
  <si>
    <t>q68_11</t>
  </si>
  <si>
    <t>q68_12</t>
  </si>
  <si>
    <t>q68_13</t>
  </si>
  <si>
    <t>q180_1</t>
  </si>
  <si>
    <t>q180_2</t>
  </si>
  <si>
    <t>q180_3</t>
  </si>
  <si>
    <t>q180_4</t>
  </si>
  <si>
    <t>q180_5</t>
  </si>
  <si>
    <t>q180_6</t>
  </si>
  <si>
    <t>q180_7</t>
  </si>
  <si>
    <t>q180_8</t>
  </si>
  <si>
    <t>q180_9</t>
  </si>
  <si>
    <t>q180_10</t>
  </si>
  <si>
    <t>q180_11</t>
  </si>
  <si>
    <t>q180_12</t>
  </si>
  <si>
    <t>q180_13</t>
  </si>
  <si>
    <t>CTR3A_8_other</t>
  </si>
  <si>
    <t>CTR3A_9_other</t>
  </si>
  <si>
    <t>CTR3A_10_other</t>
  </si>
  <si>
    <t>q69_1</t>
  </si>
  <si>
    <t>q69_2</t>
  </si>
  <si>
    <t>q69_3</t>
  </si>
  <si>
    <t>q69_4</t>
  </si>
  <si>
    <t>q69_5</t>
  </si>
  <si>
    <t>q69_6</t>
  </si>
  <si>
    <t>q69_7</t>
  </si>
  <si>
    <t>q69_8</t>
  </si>
  <si>
    <t>q69_9</t>
  </si>
  <si>
    <t>q69_10</t>
  </si>
  <si>
    <t>q185_1</t>
  </si>
  <si>
    <t>q185_2</t>
  </si>
  <si>
    <t>q185_3</t>
  </si>
  <si>
    <t>q185_4</t>
  </si>
  <si>
    <t>q185_5</t>
  </si>
  <si>
    <t>q185_6</t>
  </si>
  <si>
    <t>q185_7</t>
  </si>
  <si>
    <t>q185_8</t>
  </si>
  <si>
    <t>q185_9</t>
  </si>
  <si>
    <t>q185_10</t>
  </si>
  <si>
    <t>dTranslat_1</t>
  </si>
  <si>
    <t>dTranslat_2</t>
  </si>
  <si>
    <t>dTranslat_3</t>
  </si>
  <si>
    <t>dTranslat_4</t>
  </si>
  <si>
    <t>dTranslat_5</t>
  </si>
  <si>
    <t>dTranslat_6</t>
  </si>
  <si>
    <t>dTranslat_7</t>
  </si>
  <si>
    <t>dTranslat_8</t>
  </si>
  <si>
    <t>dTranslat_9</t>
  </si>
  <si>
    <t>dTranslat_10</t>
  </si>
  <si>
    <t>dTranslat_11</t>
  </si>
  <si>
    <t>dTranslat_12</t>
  </si>
  <si>
    <t>Submit</t>
  </si>
  <si>
    <t>Back</t>
  </si>
  <si>
    <t>q324_skip_1</t>
  </si>
  <si>
    <t>q324_skip_1_other</t>
  </si>
  <si>
    <t>qhighlight</t>
  </si>
  <si>
    <t>fl_handler</t>
  </si>
  <si>
    <t>q63_skip_1</t>
  </si>
  <si>
    <t>q63_skip_1_other</t>
  </si>
  <si>
    <t>complete</t>
  </si>
  <si>
    <t>NaN</t>
  </si>
  <si>
    <t>NaN:NaN</t>
  </si>
  <si>
    <t>https://insight.towerswatson.com/wix/p58676171.aspx?r=1&amp;s=HCFEEJSP</t>
  </si>
  <si>
    <t>consultant</t>
  </si>
  <si>
    <t>test</t>
  </si>
  <si>
    <t>test@test.com</t>
  </si>
  <si>
    <t/>
  </si>
  <si>
    <t>https://insight.towerswatson.com/wix/p58676171.aspx?r=2&amp;s=UGGAEDEH</t>
  </si>
  <si>
    <t>client</t>
  </si>
  <si>
    <t>fsd</t>
  </si>
  <si>
    <t>21</t>
  </si>
  <si>
    <t>est@g.c</t>
  </si>
  <si>
    <t>Complete</t>
  </si>
  <si>
    <t>https://insight.towerswatson.com/wix/p58676171.aspx?r=3&amp;s=PVHPDPUJ</t>
  </si>
  <si>
    <t>te</t>
  </si>
  <si>
    <t>tesa</t>
  </si>
  <si>
    <t>stasa</t>
  </si>
  <si>
    <t>sda</t>
  </si>
  <si>
    <t>sa</t>
  </si>
  <si>
    <t>Asa</t>
  </si>
  <si>
    <t>as</t>
  </si>
  <si>
    <t>aaas</t>
  </si>
  <si>
    <t>sasa</t>
  </si>
  <si>
    <t>saas</t>
  </si>
  <si>
    <t>https://insight.towerswatson.com/wix/p58676171.aspx?r=4&amp;s=WJPSCDUE</t>
  </si>
  <si>
    <t>Consultant</t>
  </si>
  <si>
    <t>Willis Towers Watson</t>
  </si>
  <si>
    <t>Alice Farley</t>
  </si>
  <si>
    <t>alice.farley@willistowerswatson.com</t>
  </si>
  <si>
    <t>https://insight.towerswatson.com/wix/p58676171.aspx?r=5&amp;s=MTSVSGKN</t>
  </si>
  <si>
    <t>81250</t>
  </si>
  <si>
    <t>1:21</t>
  </si>
  <si>
    <t>https://insight.towerswatson.com/wix/p58676171.aspx?r=6&amp;s=LWHPWMQI</t>
  </si>
  <si>
    <t>keith</t>
  </si>
  <si>
    <t>ketih@test.com</t>
  </si>
  <si>
    <t>324733</t>
  </si>
  <si>
    <t>5:24</t>
  </si>
  <si>
    <t>https://insight.towerswatson.com/wix/p58676171.aspx?r=7&amp;s=SIPTOPNM</t>
  </si>
  <si>
    <t>CONSULTANT</t>
  </si>
  <si>
    <t>42477</t>
  </si>
  <si>
    <t>https://insight.towerswatson.com/wix/p58676171.aspx?r=8&amp;s=LPOWXHDB</t>
  </si>
  <si>
    <t>Ian</t>
  </si>
  <si>
    <t>TEST</t>
  </si>
  <si>
    <t>test@dell.com</t>
  </si>
  <si>
    <t>1085440</t>
  </si>
  <si>
    <t>18:5</t>
  </si>
  <si>
    <t>https://insight.towerswatson.com/wix/p58676171.aspx?r=9&amp;s=MMJNSNNQ</t>
  </si>
  <si>
    <t>alicefarley@hotmail.co.uk</t>
  </si>
  <si>
    <t>https://insight.towerswatson.com/wix/p58676171.aspx?r=10&amp;s=TLRHIRDD</t>
  </si>
  <si>
    <t>https://insight.towerswatson.com/wix/p58676171.aspx?r=11&amp;s=BQKIBOKL</t>
  </si>
  <si>
    <t>129810</t>
  </si>
  <si>
    <t>2:9</t>
  </si>
  <si>
    <t>https://insight.towerswatson.com/wix/p58676171.aspx?r=12&amp;s=OYKCTWVW</t>
  </si>
  <si>
    <t>https://insight.towerswatson.com/wix/p58676171.aspx?r=13&amp;s=LWXHYEIR</t>
  </si>
  <si>
    <t>CLIENT</t>
  </si>
  <si>
    <t>https://insight.towerswatson.com/wix/p58676171.aspx?r=14&amp;s=QTMDEPUW</t>
  </si>
  <si>
    <t>Test Client</t>
  </si>
  <si>
    <t>Amol Mhatre</t>
  </si>
  <si>
    <t>amol.mhatre@willistowerswatson.com</t>
  </si>
  <si>
    <t>93950</t>
  </si>
  <si>
    <t>1:33</t>
  </si>
  <si>
    <t>https://insight.towerswatson.com/wix/p58676171.aspx?r=15&amp;s=CFBTPBJX</t>
  </si>
  <si>
    <t>WTW</t>
  </si>
  <si>
    <t>Julie Gebauer</t>
  </si>
  <si>
    <t>jjg.gebauer@gmail.com</t>
  </si>
  <si>
    <t>https://insight.towerswatson.com/wix/p58676171.aspx?r=16&amp;s=NGPOQGVP</t>
  </si>
  <si>
    <t>Client</t>
  </si>
  <si>
    <t>2329163</t>
  </si>
  <si>
    <t>38:49</t>
  </si>
  <si>
    <t>https://insight.towerswatson.com/wix/p58676171.aspx?r=17&amp;s=NXRLKPUK</t>
  </si>
  <si>
    <t>Ian C</t>
  </si>
  <si>
    <t>ianc@wtw.com</t>
  </si>
  <si>
    <t>dfgfd</t>
  </si>
  <si>
    <t>Text Here</t>
  </si>
  <si>
    <t>77807</t>
  </si>
  <si>
    <t>1:17</t>
  </si>
  <si>
    <t>https://insight.towerswatson.com/wix/p58676171.aspx?r=18&amp;s=EBEQGNOL</t>
  </si>
  <si>
    <t>Adrian</t>
  </si>
  <si>
    <t>TESTS6@dell.com</t>
  </si>
  <si>
    <t>https://insight.towerswatson.com/wix/p58676171.aspx?r=19&amp;s=AHZUMTEW</t>
  </si>
  <si>
    <t>AON</t>
  </si>
  <si>
    <t>Ian C Aug 18</t>
  </si>
  <si>
    <t>Ian@aon.com</t>
  </si>
  <si>
    <t>https://insight.towerswatson.com/wix/p58676171.aspx?r=20&amp;s=STEKWICM</t>
  </si>
  <si>
    <t>Pearl Jam</t>
  </si>
  <si>
    <t>Axel Rose</t>
  </si>
  <si>
    <t>AR@gmail.com</t>
  </si>
  <si>
    <t>Test</t>
  </si>
  <si>
    <t>Test3</t>
  </si>
  <si>
    <t>Test2</t>
  </si>
  <si>
    <t>Test 1</t>
  </si>
  <si>
    <t>OK</t>
  </si>
  <si>
    <t>TY</t>
  </si>
  <si>
    <t>WWF</t>
  </si>
  <si>
    <t>OKAY</t>
  </si>
  <si>
    <t>NOT GOING TO DO</t>
  </si>
  <si>
    <t>Added</t>
  </si>
  <si>
    <t>NO comment</t>
  </si>
  <si>
    <t>Notes</t>
  </si>
  <si>
    <t>NONE</t>
  </si>
  <si>
    <t>SURE TO DO</t>
  </si>
  <si>
    <t>COUNT ME</t>
  </si>
  <si>
    <t>Will not DO</t>
  </si>
  <si>
    <t>ADD</t>
  </si>
  <si>
    <t>TST</t>
  </si>
  <si>
    <t>SD</t>
  </si>
  <si>
    <t>DD</t>
  </si>
  <si>
    <t>DISREGARD</t>
  </si>
  <si>
    <t>Dont ADD</t>
  </si>
  <si>
    <t>DS</t>
  </si>
  <si>
    <t>SF</t>
  </si>
  <si>
    <t>56</t>
  </si>
  <si>
    <t>ASDF</t>
  </si>
  <si>
    <t>RF</t>
  </si>
  <si>
    <t>#$</t>
  </si>
  <si>
    <t>ADF</t>
  </si>
  <si>
    <t>SED</t>
  </si>
  <si>
    <t>sds</t>
  </si>
  <si>
    <t>ED</t>
  </si>
  <si>
    <t>PLUS</t>
  </si>
  <si>
    <t>GNR</t>
  </si>
  <si>
    <t>GOT</t>
  </si>
  <si>
    <t>GNC</t>
  </si>
  <si>
    <t>no plans</t>
  </si>
  <si>
    <t>fg</t>
  </si>
  <si>
    <t>gf</t>
  </si>
  <si>
    <t>yu</t>
  </si>
  <si>
    <t>go</t>
  </si>
  <si>
    <t>gfg</t>
  </si>
  <si>
    <t>df</t>
  </si>
  <si>
    <t>fsdaf</t>
  </si>
  <si>
    <t>Redesigning the where, when and how of work</t>
  </si>
  <si>
    <t>Term</t>
  </si>
  <si>
    <t>Comments</t>
  </si>
  <si>
    <t>Flexible and remote work policies to suit diverse employee preferences and needs (e.g., hybrid work model balancing onsite / remote work)</t>
  </si>
  <si>
    <t>Automation and digitisation of work (e.g., increased adoption of virtual collaboration tools, robotics and  AR / VR capabilities)</t>
  </si>
  <si>
    <t>Alternate sources of talent including critical talent sharing across businesses/eco system</t>
  </si>
  <si>
    <t>Use of contingent workers</t>
  </si>
  <si>
    <t>Offshoring centres</t>
  </si>
  <si>
    <t>Mobilising agile teams</t>
  </si>
  <si>
    <t>Shift in the role of the office from a community gathering focus to collaboration, learning and innovation focus</t>
  </si>
  <si>
    <t>Other____________</t>
  </si>
  <si>
    <t>Redesign of job / career architecture</t>
  </si>
  <si>
    <t>Job levelling and architecture to reflect new ways of working (e.g., broader careers, more mobility, enterprise-wide, critical skill-sets, agile teams)</t>
  </si>
  <si>
    <t>Robust job levelling and job architecture to provide infrastructure to support compensation strategy including pay equity, segmentation etc.</t>
  </si>
  <si>
    <t>Knowledge architecture (skills and competencies) as a key element of the overall career framework</t>
  </si>
  <si>
    <t>Refreshed approach to job architecture to encourage diverse career pathways</t>
  </si>
  <si>
    <t>Understand current organisational shape against the market</t>
  </si>
  <si>
    <t>Reskilling and upskilling programs and diverse career pathways</t>
  </si>
  <si>
    <t xml:space="preserve"> Digital skills benchmarking and development</t>
  </si>
  <si>
    <t xml:space="preserve"> Managing tasks / work in a flexible work environment including planning, completing tasks, staying connected and building networks</t>
  </si>
  <si>
    <t xml:space="preserve"> Online / remote learning and development programs</t>
  </si>
  <si>
    <t xml:space="preserve"> Increasing transparency around work and skills by defining reskilling, upskilling and out-skilling pathways</t>
  </si>
  <si>
    <t xml:space="preserve"> Innovative talent development and matching strategies</t>
  </si>
  <si>
    <t xml:space="preserve"> Lateral and non-linear career progression</t>
  </si>
  <si>
    <t>Capability for new business strategy / transformation journey / workforce planning</t>
  </si>
  <si>
    <t>Inclusive and equitable career growth and skills development programs</t>
  </si>
  <si>
    <t xml:space="preserve"> Personalised, equitable and accessible career pathways designed to suit diverse employee profiles / personas</t>
  </si>
  <si>
    <t xml:space="preserve"> Ensuring equitable treatment in terms of career growth / development opportunities when working remotely / utilising flexible work arrangements</t>
  </si>
  <si>
    <t xml:space="preserve"> Inclusive representation at all career levels</t>
  </si>
  <si>
    <t xml:space="preserve"> Mentorship / sponsorship for career progression</t>
  </si>
  <si>
    <t xml:space="preserve"> Talent pipeline and successors with future-ready skills and capabilities</t>
  </si>
  <si>
    <t xml:space="preserve"> Performance management to support development, skills and career growth</t>
  </si>
  <si>
    <t xml:space="preserve"> Enablement programs to foster inclusiveness in the workplace (for leadership and employees)</t>
  </si>
  <si>
    <t>Manager wellbeing and resilience</t>
  </si>
  <si>
    <t>Training managers to consider I&amp;D in all people processes</t>
  </si>
  <si>
    <t>Equipping managers to play an active role in the wellbeing of employees</t>
  </si>
  <si>
    <t>Manager toolkit that provides all resources and programs to connect to employee wellbeing needs</t>
  </si>
  <si>
    <t>Manager development and enablement in hybrid work environment</t>
  </si>
  <si>
    <t xml:space="preserve"> Listening strategies to understand manager concerns and needs</t>
  </si>
  <si>
    <t xml:space="preserve"> Providing support and training to build leader and manager resiliency and agility</t>
  </si>
  <si>
    <t xml:space="preserve"> Communications toolkit to improve capabilities to lead through change</t>
  </si>
  <si>
    <t xml:space="preserve"> Supporting managers with the tools and capabilities to connect with teams when working remotely/utilising flexible work arrangements</t>
  </si>
  <si>
    <t>Leadership capability to manage through change and build a high-performing culture</t>
  </si>
  <si>
    <t>Inclusive leadership behaviours and messaging</t>
  </si>
  <si>
    <t>Purpose-driven work</t>
  </si>
  <si>
    <t>Prioritising continuous learning through a comprehensive L&amp;D curriculum</t>
  </si>
  <si>
    <t>Assessing employee preferences and needs to identify opportunities to optimise culture</t>
  </si>
  <si>
    <t>Investments in acquisition and development of critical talent and skills</t>
  </si>
  <si>
    <t>Identification of critical skills gaps, including workforce projections to identify future critical skills gaps</t>
  </si>
  <si>
    <t>Total rewards cost benchmarking of critical talent, and projected cost of acquiring critical talent</t>
  </si>
  <si>
    <t>Cost of talent sourcing and reskilling/upskilling programs</t>
  </si>
  <si>
    <t>Phased retirement programs to leverage skills/knowledge of retirement-eligible talent</t>
  </si>
  <si>
    <t>Alternative sourcing strategies and employment models</t>
  </si>
  <si>
    <t>Optimisation of cost of work through rethinking talent sources / locations, technology and the where of work</t>
  </si>
  <si>
    <t>Deconstructing and reconstructing jobs and skills profiles to identify low cost sources/geographies</t>
  </si>
  <si>
    <t>Automation and digitisation</t>
  </si>
  <si>
    <t>Relocation of jobs balancing business needs, talent pipeline, and costs</t>
  </si>
  <si>
    <t>Cost of onshoring / offshoring options</t>
  </si>
  <si>
    <t>Real estate optimisation</t>
  </si>
  <si>
    <t>Transformation of performance management to reflect new ways of working</t>
  </si>
  <si>
    <t>Move from annual objective setting processes to a rhythm that reflects work</t>
  </si>
  <si>
    <t>Realignment of performance management and rewards</t>
  </si>
  <si>
    <t>Continuous feedback mechanisms / feedback in the moment</t>
  </si>
  <si>
    <t>Shift in manager role from performance monitoring to performance coaching</t>
  </si>
  <si>
    <t>Range of different performance metrics to reflect flexible/remote work strategies</t>
  </si>
  <si>
    <t>Increased focus on “how” and not just on “what” gets done; greater emphasis on impact</t>
  </si>
  <si>
    <t>Balance between individual performance vs. team performance vs organisational performance aligned to business strategy</t>
  </si>
  <si>
    <t>More agile technology to enable performance process, objective setting, monitoring and feedback</t>
  </si>
  <si>
    <t>Transitioning to a skills-based pay approach</t>
  </si>
  <si>
    <t>Refocus of knowledge architecture to add skills alongside competencies</t>
  </si>
  <si>
    <t>Dynamic, AI-enabled skills taxonomies for agile talent management and rewards</t>
  </si>
  <si>
    <t>Pay benchmarking for skills</t>
  </si>
  <si>
    <t>Compensation strategies to pay for skills including skills premium allowances, segmented ranges and other rewards (e.g., LTI for critical skill talent)</t>
  </si>
  <si>
    <t>Forward-looking performance management to recognise knowledge, skills and potential, reducing focus on past outputs</t>
  </si>
  <si>
    <t>Skills-based progression models with promotions based on skills acquisition</t>
  </si>
  <si>
    <t>Ensuring living wages and fair pay policies and practices</t>
  </si>
  <si>
    <t>Living wages and adequacy of net disposable income by geography</t>
  </si>
  <si>
    <t>Hazard pay premiums</t>
  </si>
  <si>
    <t>Shift differentials</t>
  </si>
  <si>
    <t>Competitive pay policies</t>
  </si>
  <si>
    <t>Pay equity by various cohorts (e.g., gender pay gap, ethnicity)</t>
  </si>
  <si>
    <t>Analytics to understand pay and reward fairness, including market benchmarking</t>
  </si>
  <si>
    <t>Rewards considerations for work transformation, relocating jobs and talent sourcing</t>
  </si>
  <si>
    <t>Review of performance management to ensure fairness and equity (e.g., goal setting, assessment, and links to rewards)</t>
  </si>
  <si>
    <t>Alignment with I&amp;D strategy</t>
  </si>
  <si>
    <t>Manager awareness training</t>
  </si>
  <si>
    <t xml:space="preserve"> Equity / equality plans</t>
  </si>
  <si>
    <t>Commitments to ESG / sustainability goals</t>
  </si>
  <si>
    <t xml:space="preserve"> Use of ESG and sustainability metrics in executive and broad-based incentive programs, including benchmarking</t>
  </si>
  <si>
    <t xml:space="preserve"> Benefits, policies and programs that support sustainability commitment and measurement</t>
  </si>
  <si>
    <t xml:space="preserve"> (e.g., DEI) and HR's role in execution / creating impact</t>
  </si>
  <si>
    <t>Adjusting compensation approach for flexible work arrangements</t>
  </si>
  <si>
    <t>Rewards benchmarking for remote / geographically dispersed teams, considering implications of taxation and regulations</t>
  </si>
  <si>
    <t>Realignment of perquisites and other rewards programs to align with changes to work (e.g., commuter allowance or car allowance)</t>
  </si>
  <si>
    <t>Readjusting pay to reflect economic value of flexibility, remote work, location</t>
  </si>
  <si>
    <t>Fairness, flexibility, personalisation and inclusion of safety, leave, benefits and wellbeing programs</t>
  </si>
  <si>
    <t xml:space="preserve"> Leave policies for diverse needs (e.g., mental health, caregiving responsibilities, skills development)</t>
  </si>
  <si>
    <t xml:space="preserve"> Flexibility and affordability of core protection coverage (buy up/down) to suit individual and family needs for protection and coverage</t>
  </si>
  <si>
    <t>Curated and relevant wellbeing programs and perks to support remote work / flexible work arrangements as well as onsite working for jobs requiring physical presence (e.g,. healthcare, travel/entertainment)</t>
  </si>
  <si>
    <t>Flexibility / choice for targeted voluntary benefits and wellbeing programs</t>
  </si>
  <si>
    <t>Telehealth and tele-counselling</t>
  </si>
  <si>
    <t>EAP programs and other support for mental health at workplace</t>
  </si>
  <si>
    <t>Comprehensive communications covering benefits and wellbeing programs, navigation tools and integrated digital delivery</t>
  </si>
  <si>
    <t>Accessible health networks for geographically dispersed teams/workforce</t>
  </si>
  <si>
    <t>Flexible retirement policies to allow phased retirement and alternate work arrangements (e.g., for knowledge transfer, critical skills gap)</t>
  </si>
  <si>
    <t>Benchmarking current plan design against market and alignment with future objectives</t>
  </si>
  <si>
    <t>Curated and relevant wellbeing programs and perks to support remote work / flexible work arrangements</t>
  </si>
  <si>
    <t>Emotional wellbeing programs such as tele-counselling, EAP programs, mindfulness apps, stress and resilience management</t>
  </si>
  <si>
    <t>Psychological safety policies</t>
  </si>
  <si>
    <t>Social wellbeing programs such as peer-to-peer sharing, digital networking, charitable programs and community connections</t>
  </si>
  <si>
    <t>Minimum levels, coverage and equitability / inclusiveness of core benefits</t>
  </si>
  <si>
    <t>Minimum standards for health coverage and minimum quality standards for healthcare and risk benefits (e.g. life, accident)</t>
  </si>
  <si>
    <t>Focus on equitable access and relevancy of benefits and related health and wealth outcomes</t>
  </si>
  <si>
    <t>Easy access to healthcare for all employees (variances by country)</t>
  </si>
  <si>
    <t>Affordability of healthcare (relative to income)</t>
  </si>
  <si>
    <t>Global leave standards (e.g., parental leave, caregiving leaves)</t>
  </si>
  <si>
    <t>Access to vaccines across global employee population</t>
  </si>
  <si>
    <t>Vaccination requirements for return to workplace and work travel</t>
  </si>
  <si>
    <t>Equitability of retirement contributions (e.g., value of legacy DB benefits for current/past employees vs. value of DC contributions for new hires)</t>
  </si>
  <si>
    <t>Digital delivery including telehealth and tele-counselling</t>
  </si>
  <si>
    <t>Employee portal</t>
  </si>
  <si>
    <t>Information and education (e.g., financial literacy)</t>
  </si>
  <si>
    <t>Decision-making support to make informed choices</t>
  </si>
  <si>
    <t>Planning tools and support</t>
  </si>
  <si>
    <t>Provider network navigation tools</t>
  </si>
  <si>
    <t>Navigation / concierge services (e.g., medical, caregiving, financial wellbeing, healthcare)</t>
  </si>
  <si>
    <t>Healthcare / disability claims advocacy support</t>
  </si>
  <si>
    <t>Vendor selection / negotiations / management for value-added services (e.g., planning / modelling tools)</t>
  </si>
  <si>
    <t>Better use of benefits choice / flexibility, including voluntary benefits</t>
  </si>
  <si>
    <t>Minimum standards for core protection benefits</t>
  </si>
  <si>
    <t>Leave policies to enable work-life balance (e.g., caregiving needs, parental leave)</t>
  </si>
  <si>
    <t>Comprehensive wellbeing strategy across benefit and wellbeing programs, including governance and benchmarking</t>
  </si>
  <si>
    <t>Physical wellbeing programs including core protection benefits such as health coverage, telehealth and risk benefits</t>
  </si>
  <si>
    <t>Physical safety polices and programs</t>
  </si>
  <si>
    <t>Health plan affordability and coverage</t>
  </si>
  <si>
    <t>Behavioural incentives (e.g., smoking cessation)</t>
  </si>
  <si>
    <t>Financial wellbeing programs including occupational pensions, reskilling/upskilling for job protection, financial planning tools/advice, debt management, etc.</t>
  </si>
  <si>
    <t>Leadership and manager sponsorship and advocacy for wellbeing</t>
  </si>
  <si>
    <t>Leading with empathy</t>
  </si>
  <si>
    <t>Visibility of leader and manager buy-in</t>
  </si>
  <si>
    <t>Integrating wellbeing into all leader messaging and culture</t>
  </si>
  <si>
    <t>Holding managers accountable for employee wellbeing</t>
  </si>
  <si>
    <t>Enabling managers to support and drive employee wellbeing</t>
  </si>
  <si>
    <t>Benefits cost sustainability</t>
  </si>
  <si>
    <t>Evaluating fixed costs of benefits programs</t>
  </si>
  <si>
    <t>Exploring opportunities to redesign programs to increase cost flexibility (e.g., rebalancing ER / EE costs)</t>
  </si>
  <si>
    <t>Flexibility of employer retirement contributions</t>
  </si>
  <si>
    <t>Benefits benchmarking, taking into account impact on Total Rewards mix</t>
  </si>
  <si>
    <t>Realigning the portfolio of benefits with employee preferences and values</t>
  </si>
  <si>
    <t>Monitoring changing / evolving employee preferences and needs</t>
  </si>
  <si>
    <t>Aligning benefits spend with evolving employee values and preferences</t>
  </si>
  <si>
    <t>Elimination of underutilised / under appreciated programs</t>
  </si>
  <si>
    <t>Understanding sources of costs and cost modelling (e.g., economic scenarios, healthcare trends, demographic changes, etc.)</t>
  </si>
  <si>
    <t>Data analysis (overall and by cohort) to understand health and wealth outcomes and opportunities to optimize future outcomes that may also manage or mitigate cost</t>
  </si>
  <si>
    <t>Managing delayed / deferred costs of elective healthcare procedures</t>
  </si>
  <si>
    <t>Medical cost avoidance, control and transfer strategies</t>
  </si>
  <si>
    <t>Comprehensive wellbeing strategy (for prevention) to control healthcare and absence costs</t>
  </si>
  <si>
    <t>Migration away from defined benefit to defined contribution (accounts-based) retirement benefits arrangements</t>
  </si>
  <si>
    <t>Optimising financing and funding strategies for retirement benefits</t>
  </si>
  <si>
    <t>De-risking pension obligations</t>
  </si>
  <si>
    <t>Pension risk transfer strategies</t>
  </si>
  <si>
    <t>Human capital and benefits data insights</t>
  </si>
  <si>
    <t>Total Rewards data to inform business decision making (e.g. skills, pay, benefits costs, employee insights norms, l&amp;D data, workforce planning data, etc.)</t>
  </si>
  <si>
    <t>Data to help understand where to prioritise investment and effort</t>
  </si>
  <si>
    <t>Data to understand competitiveness against peers</t>
  </si>
  <si>
    <t>Internal data to understand areas of inconsistency within the HR infrastructure (e.g. work and rewards infrastructure)</t>
  </si>
  <si>
    <t>Ongoing employee listening</t>
  </si>
  <si>
    <t>Employee views / preferences / challenges / needs throughout work transformation</t>
  </si>
  <si>
    <t>Employee wellbeing needs and concerns</t>
  </si>
  <si>
    <t>Managers' views / preferences / challenges / needs throughout work transformation</t>
  </si>
  <si>
    <t>Managers' wellbeing needs and concerns</t>
  </si>
  <si>
    <t>Key elements of total rewards that employees value/prefer in order to optimise return / value on investments</t>
  </si>
  <si>
    <t>Employee and manager views on culture and overall employee experience</t>
  </si>
  <si>
    <t>Employee and manager perspectives on diversity, equity and inclusion</t>
  </si>
  <si>
    <t>High-performing employee experience</t>
  </si>
  <si>
    <t>Articulation of company purpose, its connection to social impact, correlation to individual purpose and employee meaning in work</t>
  </si>
  <si>
    <t>Creating a culture of dignity, inclusion, wellbeing, agility and innovation</t>
  </si>
  <si>
    <t>Re-writing guidelines for Employee Experience in the new paradigm</t>
  </si>
  <si>
    <t>Fostering psychological safety across all employee cohorts</t>
  </si>
  <si>
    <t>Total Rewards package to support Employee Experience objectives</t>
  </si>
  <si>
    <t>Fair pay practices</t>
  </si>
  <si>
    <t>Access to, and adequacy and quality of healthcare</t>
  </si>
  <si>
    <t>Adequacy of retirement benefits provisions</t>
  </si>
  <si>
    <t>Core protection benefits provisions</t>
  </si>
  <si>
    <t>Commitment to physical, financial, emotional and social wellbeing of employees</t>
  </si>
  <si>
    <t>Commitment to Diversity, Equity and Inclusion</t>
  </si>
  <si>
    <t>Corporate Social Responsibilities considered as part of total rewards</t>
  </si>
  <si>
    <t>Organisational culture of growth, wellbeing, DEI</t>
  </si>
  <si>
    <t>Board-level governance and priority</t>
  </si>
  <si>
    <t>Rewards alignment with ESG goals</t>
  </si>
  <si>
    <t>Infrastructure (e.g., work and job architecture, job levelling)</t>
  </si>
  <si>
    <t>Systems interface (e.g., HRIS, payroll, benefits)</t>
  </si>
  <si>
    <t>Data management (e.g., data interface, protection, privacy, maintenance)</t>
  </si>
  <si>
    <t>Legal and regulatory compliance (e.g., document maintenance, attestation)</t>
  </si>
  <si>
    <t>Operating model (e.g., COEs, offshoring, partners, integration across functions)</t>
  </si>
  <si>
    <t>Audit and governance strategy, (e.g., committees, roles / responsibilities, trustees / fiduciaries, advisers / partners)</t>
  </si>
  <si>
    <t>Comment</t>
  </si>
  <si>
    <t>Test 2</t>
  </si>
  <si>
    <t>Blank</t>
  </si>
  <si>
    <t>qwerty</t>
  </si>
  <si>
    <t>WASD</t>
  </si>
  <si>
    <t>(Mis)alignment of current culture with  organisational/work transformation</t>
  </si>
  <si>
    <t>TestER</t>
  </si>
  <si>
    <t>End</t>
  </si>
  <si>
    <t>TESF</t>
  </si>
  <si>
    <t>END</t>
  </si>
  <si>
    <t>FF</t>
  </si>
  <si>
    <t>Flexibility of pay</t>
  </si>
  <si>
    <t>Desired levels of cost flexibility based on allocation between fixed pay vs. variable rewards</t>
  </si>
  <si>
    <t>Understanding evolving attitudes towards fixed compensation by segments</t>
  </si>
  <si>
    <t>Opportunity to offer more employee choice in pay</t>
  </si>
  <si>
    <t>Identifying potential changes to peer groups by employee segment</t>
  </si>
  <si>
    <t>Segmentation strategy vs. one size fits all</t>
  </si>
  <si>
    <t>End range</t>
  </si>
  <si>
    <t>END TEST</t>
  </si>
  <si>
    <t>OH</t>
  </si>
  <si>
    <t>range</t>
  </si>
  <si>
    <t>1.</t>
  </si>
  <si>
    <t>Open Source file and copy the raw data</t>
  </si>
  <si>
    <t>2.</t>
  </si>
  <si>
    <t>Open the Data sheet of this file</t>
  </si>
  <si>
    <t>3.</t>
  </si>
  <si>
    <t>Paste the Copied data into the sheet, don't overwrite the 1st row or headers</t>
  </si>
  <si>
    <t>4.</t>
  </si>
  <si>
    <t>Select Cell A2, right click then paste</t>
  </si>
  <si>
    <t>5.</t>
  </si>
  <si>
    <t>The fields should populate automatically</t>
  </si>
  <si>
    <t>6.</t>
  </si>
  <si>
    <t>Open Setup sheet</t>
  </si>
  <si>
    <t>7.</t>
  </si>
  <si>
    <t>8.</t>
  </si>
  <si>
    <t>Resp_ID</t>
  </si>
  <si>
    <t>Theme</t>
  </si>
  <si>
    <t>Area of importance</t>
  </si>
  <si>
    <t>Short-term / Mid-term / Long-term</t>
  </si>
  <si>
    <t>Sheet Name</t>
  </si>
  <si>
    <t>Include in Powerpoint  (Y/N)</t>
  </si>
  <si>
    <t>Click The "Extract Data" button</t>
  </si>
  <si>
    <t>This will populate the Comments_Data sheet</t>
  </si>
  <si>
    <t>Wait for the process to finish</t>
  </si>
  <si>
    <t>9.</t>
  </si>
  <si>
    <t>Comments_Data Should be filled now</t>
  </si>
  <si>
    <t>10.</t>
  </si>
  <si>
    <t>Additional sheets should also be generated for each respondent on the data sheet</t>
  </si>
  <si>
    <t>11.</t>
  </si>
  <si>
    <t>Go back to Setup Sheet</t>
  </si>
  <si>
    <t>12.</t>
  </si>
  <si>
    <t>A list should also be created for the respondents Sheets</t>
  </si>
  <si>
    <t>13.</t>
  </si>
  <si>
    <t>Just set to "Y" the Respondent sheet that you want to include in the presentation then click "Create Powerpoint"</t>
  </si>
  <si>
    <t>The template should now export a powerpoint version</t>
  </si>
  <si>
    <t>wait for the process to finish</t>
  </si>
  <si>
    <t>Once completed a powerpoint report should pop out to show exported report</t>
  </si>
  <si>
    <t>Verify and confirm if all values are correct</t>
  </si>
  <si>
    <t>14.</t>
  </si>
  <si>
    <t>15.</t>
  </si>
  <si>
    <t>16.</t>
  </si>
  <si>
    <t>17.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</si>
</sst>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theme="1"/>
      <name val="Arial"/>
      <family val="2"/>
    </font>
    <font>
      <sz val="18"/>
      <name val="Arial"/>
      <family val="2"/>
    </font>
    <font>
      <b/>
      <sz val="12"/>
      <color rgb="FFFFFFFF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0.5"/>
      <color rgb="FF000000"/>
      <name val="Arial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rgb="FFFFFF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70208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FFF1D2"/>
        <bgColor indexed="64"/>
      </patternFill>
    </fill>
    <fill>
      <patternFill patternType="solid">
        <fgColor rgb="FFC7EED9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rgb="FF702082"/>
      </bottom>
      <diagonal/>
    </border>
    <border>
      <left/>
      <right style="medium">
        <color rgb="FF702082"/>
      </right>
      <top/>
      <bottom style="medium">
        <color rgb="FF702082"/>
      </bottom>
      <diagonal/>
    </border>
    <border>
      <left style="medium">
        <color rgb="FF702082"/>
      </left>
      <right style="medium">
        <color rgb="FF702082"/>
      </right>
      <top style="medium">
        <color rgb="FF702082"/>
      </top>
      <bottom style="medium">
        <color rgb="FF702082"/>
      </bottom>
      <diagonal/>
    </border>
    <border>
      <left style="medium">
        <color rgb="FF702082"/>
      </left>
      <right style="medium">
        <color rgb="FF702082"/>
      </right>
      <top style="medium">
        <color rgb="FF702082"/>
      </top>
      <bottom/>
      <diagonal/>
    </border>
    <border>
      <left style="medium">
        <color rgb="FF702082"/>
      </left>
      <right style="medium">
        <color rgb="FF702082"/>
      </right>
      <top/>
      <bottom/>
      <diagonal/>
    </border>
    <border>
      <left style="medium">
        <color rgb="FF702082"/>
      </left>
      <right style="medium">
        <color rgb="FF702082"/>
      </right>
      <top/>
      <bottom style="medium">
        <color rgb="FF702082"/>
      </bottom>
      <diagonal/>
    </border>
    <border>
      <left style="medium">
        <color rgb="FF702082"/>
      </left>
      <right/>
      <top style="medium">
        <color rgb="FF702082"/>
      </top>
      <bottom/>
      <diagonal/>
    </border>
    <border>
      <left/>
      <right/>
      <top style="medium">
        <color rgb="FF702082"/>
      </top>
      <bottom/>
      <diagonal/>
    </border>
    <border>
      <left/>
      <right style="medium">
        <color rgb="FF702082"/>
      </right>
      <top style="medium">
        <color rgb="FF702082"/>
      </top>
      <bottom/>
      <diagonal/>
    </border>
    <border>
      <left style="medium">
        <color rgb="FF702082"/>
      </left>
      <right/>
      <top/>
      <bottom/>
      <diagonal/>
    </border>
    <border>
      <left/>
      <right style="medium">
        <color rgb="FF702082"/>
      </right>
      <top/>
      <bottom/>
      <diagonal/>
    </border>
    <border>
      <left style="medium">
        <color rgb="FF702082"/>
      </left>
      <right/>
      <top/>
      <bottom style="medium">
        <color rgb="FF702082"/>
      </bottom>
      <diagonal/>
    </border>
    <border>
      <left style="medium">
        <color rgb="FF702082"/>
      </left>
      <right style="medium">
        <color rgb="FF70208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65">
    <xf numFmtId="0" fontId="0" fillId="0" borderId="0" xfId="0"/>
    <xf numFmtId="0" fontId="1" fillId="0" borderId="0" xfId="0" applyFont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center" wrapText="1" readingOrder="1"/>
    </xf>
    <xf numFmtId="0" fontId="1" fillId="3" borderId="3" xfId="0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 readingOrder="1"/>
    </xf>
    <xf numFmtId="0" fontId="2" fillId="5" borderId="3" xfId="0" applyFont="1" applyFill="1" applyBorder="1" applyAlignment="1">
      <alignment horizontal="center" vertical="center" wrapText="1" readingOrder="1"/>
    </xf>
    <xf numFmtId="0" fontId="2" fillId="6" borderId="3" xfId="0" applyFont="1" applyFill="1" applyBorder="1" applyAlignment="1">
      <alignment horizontal="center" vertical="center" wrapText="1" readingOrder="1"/>
    </xf>
    <xf numFmtId="0" fontId="1" fillId="2" borderId="3" xfId="0" applyFont="1" applyFill="1" applyBorder="1" applyAlignment="1">
      <alignment vertical="center" wrapText="1"/>
    </xf>
    <xf numFmtId="0" fontId="4" fillId="7" borderId="3" xfId="0" applyFont="1" applyFill="1" applyBorder="1" applyAlignment="1">
      <alignment horizontal="center" vertical="center" wrapText="1" readingOrder="1"/>
    </xf>
    <xf numFmtId="0" fontId="4" fillId="8" borderId="3" xfId="0" applyFont="1" applyFill="1" applyBorder="1" applyAlignment="1">
      <alignment horizontal="center" vertical="center" wrapText="1" readingOrder="1"/>
    </xf>
    <xf numFmtId="0" fontId="4" fillId="9" borderId="3" xfId="0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readingOrder="1"/>
    </xf>
    <xf numFmtId="0" fontId="1" fillId="0" borderId="3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left" vertical="center" wrapText="1" readingOrder="1"/>
    </xf>
    <xf numFmtId="0" fontId="1" fillId="2" borderId="3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left" vertical="center" wrapText="1" readingOrder="1"/>
    </xf>
    <xf numFmtId="0" fontId="1" fillId="2" borderId="6" xfId="0" applyFont="1" applyFill="1" applyBorder="1" applyAlignment="1">
      <alignment vertical="center" wrapText="1"/>
    </xf>
    <xf numFmtId="0" fontId="1" fillId="2" borderId="5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top" wrapText="1"/>
    </xf>
    <xf numFmtId="0" fontId="1" fillId="2" borderId="2" xfId="0" applyFont="1" applyFill="1" applyBorder="1" applyAlignment="1">
      <alignment vertical="top" wrapText="1"/>
    </xf>
    <xf numFmtId="0" fontId="6" fillId="0" borderId="0" xfId="1"/>
    <xf numFmtId="14" fontId="6" fillId="0" borderId="0" xfId="1" applyNumberFormat="1"/>
    <xf numFmtId="0" fontId="8" fillId="2" borderId="13" xfId="0" applyFont="1" applyFill="1" applyBorder="1" applyAlignment="1">
      <alignment horizontal="left" vertical="center" wrapText="1" readingOrder="1"/>
    </xf>
    <xf numFmtId="0" fontId="9" fillId="0" borderId="0" xfId="0" applyFont="1"/>
    <xf numFmtId="0" fontId="11" fillId="3" borderId="4" xfId="0" applyFont="1" applyFill="1" applyBorder="1" applyAlignment="1">
      <alignment horizontal="left" vertical="center" wrapText="1" readingOrder="1"/>
    </xf>
    <xf numFmtId="0" fontId="0" fillId="10" borderId="0" xfId="0" applyFill="1"/>
    <xf numFmtId="49" fontId="7" fillId="0" borderId="0" xfId="0" applyNumberFormat="1" applyFont="1" applyAlignment="1">
      <alignment horizontal="right"/>
    </xf>
    <xf numFmtId="0" fontId="0" fillId="10" borderId="14" xfId="0" applyFill="1" applyBorder="1"/>
    <xf numFmtId="49" fontId="7" fillId="10" borderId="15" xfId="0" applyNumberFormat="1" applyFont="1" applyFill="1" applyBorder="1" applyAlignment="1">
      <alignment horizontal="right"/>
    </xf>
    <xf numFmtId="0" fontId="0" fillId="10" borderId="15" xfId="0" applyFill="1" applyBorder="1"/>
    <xf numFmtId="0" fontId="0" fillId="10" borderId="16" xfId="0" applyFill="1" applyBorder="1"/>
    <xf numFmtId="0" fontId="0" fillId="10" borderId="17" xfId="0" applyFill="1" applyBorder="1"/>
    <xf numFmtId="49" fontId="7" fillId="10" borderId="0" xfId="0" applyNumberFormat="1" applyFont="1" applyFill="1" applyBorder="1" applyAlignment="1">
      <alignment horizontal="right"/>
    </xf>
    <xf numFmtId="0" fontId="0" fillId="10" borderId="0" xfId="0" applyFill="1" applyBorder="1"/>
    <xf numFmtId="0" fontId="0" fillId="10" borderId="18" xfId="0" applyFill="1" applyBorder="1"/>
    <xf numFmtId="0" fontId="7" fillId="0" borderId="19" xfId="0" applyFont="1" applyBorder="1" applyAlignment="1">
      <alignment vertical="center" wrapText="1"/>
    </xf>
    <xf numFmtId="0" fontId="7" fillId="0" borderId="20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20" xfId="0" applyFont="1" applyBorder="1" applyAlignment="1">
      <alignment horizontal="center" vertical="center" wrapText="1"/>
    </xf>
    <xf numFmtId="20" fontId="6" fillId="0" borderId="0" xfId="1" applyNumberFormat="1"/>
    <xf numFmtId="49" fontId="9" fillId="0" borderId="0" xfId="0" applyNumberFormat="1" applyFont="1" applyAlignment="1">
      <alignment horizontal="center" vertical="center" wrapText="1"/>
    </xf>
    <xf numFmtId="49" fontId="9" fillId="0" borderId="0" xfId="0" applyNumberFormat="1" applyFont="1"/>
    <xf numFmtId="49" fontId="11" fillId="3" borderId="3" xfId="0" applyNumberFormat="1" applyFont="1" applyFill="1" applyBorder="1" applyAlignment="1">
      <alignment horizontal="center" vertical="center" wrapText="1" readingOrder="1"/>
    </xf>
    <xf numFmtId="49" fontId="8" fillId="2" borderId="13" xfId="0" applyNumberFormat="1" applyFont="1" applyFill="1" applyBorder="1" applyAlignment="1">
      <alignment horizontal="center" vertical="center" wrapText="1" readingOrder="1"/>
    </xf>
    <xf numFmtId="49" fontId="10" fillId="2" borderId="13" xfId="0" applyNumberFormat="1" applyFont="1" applyFill="1" applyBorder="1" applyAlignment="1">
      <alignment horizontal="left" vertical="center" wrapText="1" readingOrder="1"/>
    </xf>
    <xf numFmtId="49" fontId="8" fillId="2" borderId="13" xfId="0" applyNumberFormat="1" applyFont="1" applyFill="1" applyBorder="1" applyAlignment="1">
      <alignment horizontal="left" vertical="center" wrapText="1" readingOrder="1"/>
    </xf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 vertical="center" wrapText="1" readingOrder="1"/>
    </xf>
    <xf numFmtId="0" fontId="3" fillId="0" borderId="5" xfId="0" applyFont="1" applyBorder="1" applyAlignment="1">
      <alignment horizontal="center" vertical="center" wrapText="1" readingOrder="1"/>
    </xf>
    <xf numFmtId="0" fontId="3" fillId="0" borderId="6" xfId="0" applyFont="1" applyBorder="1" applyAlignment="1">
      <alignment horizontal="center" vertical="center" wrapText="1" readingOrder="1"/>
    </xf>
    <xf numFmtId="0" fontId="3" fillId="2" borderId="4" xfId="0" applyFont="1" applyFill="1" applyBorder="1" applyAlignment="1">
      <alignment horizontal="center" vertical="center" wrapText="1" readingOrder="1"/>
    </xf>
    <xf numFmtId="0" fontId="3" fillId="2" borderId="5" xfId="0" applyFont="1" applyFill="1" applyBorder="1" applyAlignment="1">
      <alignment horizontal="center" vertical="center" wrapText="1" readingOrder="1"/>
    </xf>
    <xf numFmtId="0" fontId="3" fillId="2" borderId="6" xfId="0" applyFont="1" applyFill="1" applyBorder="1" applyAlignment="1">
      <alignment horizontal="center" vertical="center" wrapText="1" readingOrder="1"/>
    </xf>
    <xf numFmtId="0" fontId="5" fillId="2" borderId="7" xfId="0" applyFont="1" applyFill="1" applyBorder="1" applyAlignment="1">
      <alignment horizontal="left" vertical="center" wrapText="1" readingOrder="1"/>
    </xf>
    <xf numFmtId="0" fontId="5" fillId="2" borderId="8" xfId="0" applyFont="1" applyFill="1" applyBorder="1" applyAlignment="1">
      <alignment horizontal="left" vertical="center" wrapText="1" readingOrder="1"/>
    </xf>
    <xf numFmtId="0" fontId="5" fillId="2" borderId="9" xfId="0" applyFont="1" applyFill="1" applyBorder="1" applyAlignment="1">
      <alignment horizontal="left" vertical="center" wrapText="1" readingOrder="1"/>
    </xf>
    <xf numFmtId="0" fontId="5" fillId="2" borderId="10" xfId="0" applyFont="1" applyFill="1" applyBorder="1" applyAlignment="1">
      <alignment horizontal="left" vertical="center" wrapText="1" readingOrder="1"/>
    </xf>
    <xf numFmtId="0" fontId="5" fillId="2" borderId="0" xfId="0" applyFont="1" applyFill="1" applyBorder="1" applyAlignment="1">
      <alignment horizontal="left" vertical="center" wrapText="1" readingOrder="1"/>
    </xf>
    <xf numFmtId="0" fontId="5" fillId="2" borderId="11" xfId="0" applyFont="1" applyFill="1" applyBorder="1" applyAlignment="1">
      <alignment horizontal="left" vertical="center" wrapText="1" readingOrder="1"/>
    </xf>
    <xf numFmtId="0" fontId="5" fillId="2" borderId="12" xfId="0" applyFont="1" applyFill="1" applyBorder="1" applyAlignment="1">
      <alignment horizontal="left" vertical="center" wrapText="1" readingOrder="1"/>
    </xf>
    <xf numFmtId="0" fontId="5" fillId="2" borderId="1" xfId="0" applyFont="1" applyFill="1" applyBorder="1" applyAlignment="1">
      <alignment horizontal="left" vertical="center" wrapText="1" readingOrder="1"/>
    </xf>
    <xf numFmtId="0" fontId="5" fillId="2" borderId="2" xfId="0" applyFont="1" applyFill="1" applyBorder="1" applyAlignment="1">
      <alignment horizontal="left" vertical="center" wrapText="1" readingOrder="1"/>
    </xf>
    <xf numFmtId="49" fontId="7" fillId="10" borderId="0" xfId="0" applyNumberFormat="1" applyFont="1" applyFill="1" applyAlignment="1">
      <alignment horizontal="right"/>
    </xf>
  </cellXfs>
  <cellStyles count="2">
    <cellStyle name="Normal" xfId="0" builtinId="0"/>
    <cellStyle name="Normal 2" xfId="1" xr:uid="{CEB6F908-5ADB-4D71-AB83-0796494AA1DC}"/>
  </cellStyles>
  <dxfs count="69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 val="0"/>
        <color theme="9" tint="-0.499984740745262"/>
      </font>
      <fill>
        <patternFill>
          <bgColor theme="9" tint="0.7999816888943144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FF0000"/>
      </font>
      <fill>
        <patternFill>
          <bgColor rgb="FFFDCBC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DCBCB"/>
      <color rgb="FFFBABAB"/>
      <color rgb="FF630070"/>
      <color rgb="FF8503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388620</xdr:colOff>
      <xdr:row>5</xdr:row>
      <xdr:rowOff>0</xdr:rowOff>
    </xdr:from>
    <xdr:to>
      <xdr:col>3</xdr:col>
      <xdr:colOff>201437</xdr:colOff>
      <xdr:row>13</xdr:row>
      <xdr:rowOff>87451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A1DD842-31F4-41D7-8BD0-14BEF3F88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8680" y="838200"/>
          <a:ext cx="3942857" cy="142857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3246120</xdr:colOff>
      <xdr:row>9</xdr:row>
      <xdr:rowOff>76200</xdr:rowOff>
    </xdr:from>
    <xdr:to>
      <xdr:col>2</xdr:col>
      <xdr:colOff>4069080</xdr:colOff>
      <xdr:row>12</xdr:row>
      <xdr:rowOff>60960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28AFFA7-CCF7-4F0A-8597-DAFD2F63457A}"/>
            </a:ext>
          </a:extLst>
        </xdr:cNvPr>
        <xdr:cNvSpPr/>
      </xdr:nvSpPr>
      <xdr:spPr>
        <a:xfrm>
          <a:off x="3726180" y="1584960"/>
          <a:ext cx="822960" cy="487680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2602714</xdr:colOff>
      <xdr:row>6</xdr:row>
      <xdr:rowOff>76042</xdr:rowOff>
    </xdr:from>
    <xdr:to>
      <xdr:col>2</xdr:col>
      <xdr:colOff>3232791</xdr:colOff>
      <xdr:row>8</xdr:row>
      <xdr:rowOff>158913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75EA526F-DECD-4481-8827-88672192345F}"/>
            </a:ext>
          </a:extLst>
        </xdr:cNvPr>
        <xdr:cNvSpPr/>
      </xdr:nvSpPr>
      <xdr:spPr>
        <a:xfrm rot="12976804">
          <a:off x="3082774" y="1081882"/>
          <a:ext cx="630077" cy="418151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76200</xdr:colOff>
      <xdr:row>16</xdr:row>
      <xdr:rowOff>166687</xdr:rowOff>
    </xdr:from>
    <xdr:to>
      <xdr:col>8</xdr:col>
      <xdr:colOff>118711</xdr:colOff>
      <xdr:row>30</xdr:row>
      <xdr:rowOff>81507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D2DDBEC-EB8A-4FA8-88D7-3ACF3DFEC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260" y="2848927"/>
          <a:ext cx="7220551" cy="226178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259080</xdr:colOff>
      <xdr:row>17</xdr:row>
      <xdr:rowOff>129540</xdr:rowOff>
    </xdr:from>
    <xdr:to>
      <xdr:col>8</xdr:col>
      <xdr:colOff>213360</xdr:colOff>
      <xdr:row>19</xdr:row>
      <xdr:rowOff>7620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D15531A-3DA5-4CB7-B0A3-863BD5E24A3D}"/>
            </a:ext>
          </a:extLst>
        </xdr:cNvPr>
        <xdr:cNvSpPr/>
      </xdr:nvSpPr>
      <xdr:spPr>
        <a:xfrm>
          <a:off x="739140" y="2979420"/>
          <a:ext cx="7132320" cy="213360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1089660</xdr:colOff>
      <xdr:row>33</xdr:row>
      <xdr:rowOff>74425</xdr:rowOff>
    </xdr:from>
    <xdr:to>
      <xdr:col>3</xdr:col>
      <xdr:colOff>125209</xdr:colOff>
      <xdr:row>46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A348DB5-285C-45A7-AAD0-F37C5E47DE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50659"/>
        <a:stretch/>
      </xdr:blipFill>
      <xdr:spPr>
        <a:xfrm>
          <a:off x="1569720" y="5606545"/>
          <a:ext cx="3165589" cy="225729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1870226</xdr:colOff>
      <xdr:row>38</xdr:row>
      <xdr:rowOff>15398</xdr:rowOff>
    </xdr:from>
    <xdr:to>
      <xdr:col>2</xdr:col>
      <xdr:colOff>2301240</xdr:colOff>
      <xdr:row>40</xdr:row>
      <xdr:rowOff>121920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2D5028-1B5B-4AA2-A39F-325237B77B8D}"/>
            </a:ext>
          </a:extLst>
        </xdr:cNvPr>
        <xdr:cNvSpPr/>
      </xdr:nvSpPr>
      <xdr:spPr>
        <a:xfrm>
          <a:off x="2350286" y="6385718"/>
          <a:ext cx="431014" cy="441802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2407921</xdr:colOff>
      <xdr:row>35</xdr:row>
      <xdr:rowOff>121920</xdr:rowOff>
    </xdr:from>
    <xdr:to>
      <xdr:col>2</xdr:col>
      <xdr:colOff>3037998</xdr:colOff>
      <xdr:row>38</xdr:row>
      <xdr:rowOff>37151</xdr:rowOff>
    </xdr:to>
    <xdr:sp macro="" textlink="">
      <xdr:nvSpPr>
        <xdr:cNvPr id="10" name="Arrow: Left 9">
          <a:extLst>
            <a:ext uri="{FF2B5EF4-FFF2-40B4-BE49-F238E27FC236}">
              <a16:creationId xmlns:a16="http://schemas.microsoft.com/office/drawing/2014/main" id="{D780E396-F3CD-469B-80D9-2EB9F9045979}"/>
            </a:ext>
          </a:extLst>
        </xdr:cNvPr>
        <xdr:cNvSpPr/>
      </xdr:nvSpPr>
      <xdr:spPr>
        <a:xfrm rot="19432970">
          <a:off x="2887981" y="5989320"/>
          <a:ext cx="630077" cy="418151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139338</xdr:colOff>
      <xdr:row>51</xdr:row>
      <xdr:rowOff>41952</xdr:rowOff>
    </xdr:from>
    <xdr:to>
      <xdr:col>2</xdr:col>
      <xdr:colOff>3987438</xdr:colOff>
      <xdr:row>59</xdr:row>
      <xdr:rowOff>95071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6216CCA-8108-4367-A7CE-C32A41682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309" y="8369523"/>
          <a:ext cx="3848100" cy="135940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1333500</xdr:colOff>
      <xdr:row>55</xdr:row>
      <xdr:rowOff>80300</xdr:rowOff>
    </xdr:from>
    <xdr:to>
      <xdr:col>2</xdr:col>
      <xdr:colOff>2136682</xdr:colOff>
      <xdr:row>58</xdr:row>
      <xdr:rowOff>53340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9C48679-3C85-4E01-A4CF-C6DE32BE399C}"/>
            </a:ext>
          </a:extLst>
        </xdr:cNvPr>
        <xdr:cNvSpPr/>
      </xdr:nvSpPr>
      <xdr:spPr>
        <a:xfrm>
          <a:off x="1813560" y="9300500"/>
          <a:ext cx="803182" cy="475960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719068</xdr:colOff>
      <xdr:row>52</xdr:row>
      <xdr:rowOff>149217</xdr:rowOff>
    </xdr:from>
    <xdr:to>
      <xdr:col>2</xdr:col>
      <xdr:colOff>1334003</xdr:colOff>
      <xdr:row>55</xdr:row>
      <xdr:rowOff>54399</xdr:rowOff>
    </xdr:to>
    <xdr:sp macro="" textlink="">
      <xdr:nvSpPr>
        <xdr:cNvPr id="13" name="Arrow: Left 12">
          <a:extLst>
            <a:ext uri="{FF2B5EF4-FFF2-40B4-BE49-F238E27FC236}">
              <a16:creationId xmlns:a16="http://schemas.microsoft.com/office/drawing/2014/main" id="{F60089DD-63E8-49C7-AE08-878813B861F2}"/>
            </a:ext>
          </a:extLst>
        </xdr:cNvPr>
        <xdr:cNvSpPr/>
      </xdr:nvSpPr>
      <xdr:spPr>
        <a:xfrm rot="12976804">
          <a:off x="1199128" y="8866497"/>
          <a:ext cx="614935" cy="40810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206828</xdr:colOff>
      <xdr:row>401</xdr:row>
      <xdr:rowOff>76200</xdr:rowOff>
    </xdr:from>
    <xdr:to>
      <xdr:col>3</xdr:col>
      <xdr:colOff>385904</xdr:colOff>
      <xdr:row>419</xdr:row>
      <xdr:rowOff>51343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7972B4-561A-4D19-9562-A1288D8E3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799" y="10363200"/>
          <a:ext cx="4304762" cy="291428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376645</xdr:colOff>
      <xdr:row>402</xdr:row>
      <xdr:rowOff>99894</xdr:rowOff>
    </xdr:from>
    <xdr:to>
      <xdr:col>2</xdr:col>
      <xdr:colOff>2329542</xdr:colOff>
      <xdr:row>405</xdr:row>
      <xdr:rowOff>152400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8617FD55-AE32-448D-8670-75E4BEC9889D}"/>
            </a:ext>
          </a:extLst>
        </xdr:cNvPr>
        <xdr:cNvSpPr/>
      </xdr:nvSpPr>
      <xdr:spPr>
        <a:xfrm>
          <a:off x="855616" y="10550180"/>
          <a:ext cx="1952897" cy="542363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2419420</xdr:colOff>
      <xdr:row>60</xdr:row>
      <xdr:rowOff>102406</xdr:rowOff>
    </xdr:from>
    <xdr:to>
      <xdr:col>2</xdr:col>
      <xdr:colOff>2814459</xdr:colOff>
      <xdr:row>402</xdr:row>
      <xdr:rowOff>64198</xdr:rowOff>
    </xdr:to>
    <xdr:sp macro="" textlink="">
      <xdr:nvSpPr>
        <xdr:cNvPr id="20" name="Arrow: Left 19">
          <a:extLst>
            <a:ext uri="{FF2B5EF4-FFF2-40B4-BE49-F238E27FC236}">
              <a16:creationId xmlns:a16="http://schemas.microsoft.com/office/drawing/2014/main" id="{7045B027-021E-4EDE-9A7E-E328AED3AE5A}"/>
            </a:ext>
          </a:extLst>
        </xdr:cNvPr>
        <xdr:cNvSpPr/>
      </xdr:nvSpPr>
      <xdr:spPr>
        <a:xfrm rot="18313889">
          <a:off x="2788443" y="10009497"/>
          <a:ext cx="614935" cy="395039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217713</xdr:colOff>
      <xdr:row>430</xdr:row>
      <xdr:rowOff>108858</xdr:rowOff>
    </xdr:from>
    <xdr:to>
      <xdr:col>13</xdr:col>
      <xdr:colOff>445257</xdr:colOff>
      <xdr:row>437</xdr:row>
      <xdr:rowOff>10886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A8000C1-1D4C-414B-8D10-A7E1AEE86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0113" y="15131144"/>
          <a:ext cx="10775801" cy="1045028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</xdr:col>
      <xdr:colOff>76200</xdr:colOff>
      <xdr:row>423</xdr:row>
      <xdr:rowOff>21771</xdr:rowOff>
    </xdr:from>
    <xdr:to>
      <xdr:col>2</xdr:col>
      <xdr:colOff>4009533</xdr:colOff>
      <xdr:row>429</xdr:row>
      <xdr:rowOff>108724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4007181-5364-411E-AAD2-7A7A202BF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171" y="13901057"/>
          <a:ext cx="3933333" cy="1066667"/>
        </a:xfrm>
        <a:prstGeom prst="rect">
          <a:avLst/>
        </a:prstGeom>
      </xdr:spPr>
    </xdr:pic>
    <xdr:clientData/>
  </xdr:twoCellAnchor>
  <xdr:twoCellAnchor>
    <xdr:from>
      <xdr:col>2</xdr:col>
      <xdr:colOff>1654629</xdr:colOff>
      <xdr:row>425</xdr:row>
      <xdr:rowOff>54430</xdr:rowOff>
    </xdr:from>
    <xdr:to>
      <xdr:col>2</xdr:col>
      <xdr:colOff>3145972</xdr:colOff>
      <xdr:row>427</xdr:row>
      <xdr:rowOff>97972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5D84DC6B-A68E-4F1F-8238-E1573A60367C}"/>
            </a:ext>
          </a:extLst>
        </xdr:cNvPr>
        <xdr:cNvSpPr/>
      </xdr:nvSpPr>
      <xdr:spPr>
        <a:xfrm>
          <a:off x="2133600" y="14260287"/>
          <a:ext cx="1491343" cy="370114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217714</xdr:colOff>
      <xdr:row>441</xdr:row>
      <xdr:rowOff>10886</xdr:rowOff>
    </xdr:from>
    <xdr:to>
      <xdr:col>2</xdr:col>
      <xdr:colOff>4122791</xdr:colOff>
      <xdr:row>453</xdr:row>
      <xdr:rowOff>65315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D44130D-4EFD-43F8-8818-BAF492C98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0114" y="16829315"/>
          <a:ext cx="4231648" cy="201385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oneCellAnchor>
    <xdr:from>
      <xdr:col>2</xdr:col>
      <xdr:colOff>65315</xdr:colOff>
      <xdr:row>455</xdr:row>
      <xdr:rowOff>133292</xdr:rowOff>
    </xdr:from>
    <xdr:ext cx="9427028" cy="1887042"/>
    <xdr:pic>
      <xdr:nvPicPr>
        <xdr:cNvPr id="24" name="Picture 23">
          <a:extLst>
            <a:ext uri="{FF2B5EF4-FFF2-40B4-BE49-F238E27FC236}">
              <a16:creationId xmlns:a16="http://schemas.microsoft.com/office/drawing/2014/main" id="{503E0F62-54AA-448F-BFAE-313A09C55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44286" y="22993292"/>
          <a:ext cx="9427028" cy="188704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oneCellAnchor>
  <xdr:twoCellAnchor editAs="oneCell">
    <xdr:from>
      <xdr:col>1</xdr:col>
      <xdr:colOff>195942</xdr:colOff>
      <xdr:row>469</xdr:row>
      <xdr:rowOff>130628</xdr:rowOff>
    </xdr:from>
    <xdr:to>
      <xdr:col>10</xdr:col>
      <xdr:colOff>9733</xdr:colOff>
      <xdr:row>474</xdr:row>
      <xdr:rowOff>28486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34986E-94FB-44CB-AEDB-0B14255E7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48342" y="21521057"/>
          <a:ext cx="8533248" cy="71428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</xdr:col>
      <xdr:colOff>141514</xdr:colOff>
      <xdr:row>477</xdr:row>
      <xdr:rowOff>87085</xdr:rowOff>
    </xdr:from>
    <xdr:to>
      <xdr:col>3</xdr:col>
      <xdr:colOff>263447</xdr:colOff>
      <xdr:row>505</xdr:row>
      <xdr:rowOff>19847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313A651-E341-4950-A006-737D603C7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20485" y="22783799"/>
          <a:ext cx="4247619" cy="450476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</xdr:col>
      <xdr:colOff>251460</xdr:colOff>
      <xdr:row>525</xdr:row>
      <xdr:rowOff>77478</xdr:rowOff>
    </xdr:from>
    <xdr:to>
      <xdr:col>4</xdr:col>
      <xdr:colOff>403860</xdr:colOff>
      <xdr:row>540</xdr:row>
      <xdr:rowOff>144371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3072D81-885C-477E-806B-E748A5E74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31520" y="14159238"/>
          <a:ext cx="4892040" cy="258149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</xdr:col>
      <xdr:colOff>171994</xdr:colOff>
      <xdr:row>545</xdr:row>
      <xdr:rowOff>56606</xdr:rowOff>
    </xdr:from>
    <xdr:to>
      <xdr:col>13</xdr:col>
      <xdr:colOff>300096</xdr:colOff>
      <xdr:row>578</xdr:row>
      <xdr:rowOff>36763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7BD5CE9E-A1D8-4948-A360-6AD466ACC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52054" y="17491166"/>
          <a:ext cx="10354142" cy="551227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</xdr:colOff>
      <xdr:row>508</xdr:row>
      <xdr:rowOff>152400</xdr:rowOff>
    </xdr:from>
    <xdr:to>
      <xdr:col>3</xdr:col>
      <xdr:colOff>389961</xdr:colOff>
      <xdr:row>522</xdr:row>
      <xdr:rowOff>69000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EFD6924-576D-4AC3-89EB-F2E6F5E66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89856" y="27910971"/>
          <a:ext cx="4504762" cy="317142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250371</xdr:colOff>
      <xdr:row>509</xdr:row>
      <xdr:rowOff>19260</xdr:rowOff>
    </xdr:from>
    <xdr:to>
      <xdr:col>2</xdr:col>
      <xdr:colOff>2203268</xdr:colOff>
      <xdr:row>512</xdr:row>
      <xdr:rowOff>71766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8AF5E807-2510-4BED-ACC4-348CCCBCB3CB}"/>
            </a:ext>
          </a:extLst>
        </xdr:cNvPr>
        <xdr:cNvSpPr/>
      </xdr:nvSpPr>
      <xdr:spPr>
        <a:xfrm>
          <a:off x="729342" y="27941117"/>
          <a:ext cx="1952897" cy="542363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2433569</xdr:colOff>
      <xdr:row>509</xdr:row>
      <xdr:rowOff>88177</xdr:rowOff>
    </xdr:from>
    <xdr:to>
      <xdr:col>2</xdr:col>
      <xdr:colOff>3048504</xdr:colOff>
      <xdr:row>511</xdr:row>
      <xdr:rowOff>156644</xdr:rowOff>
    </xdr:to>
    <xdr:sp macro="" textlink="">
      <xdr:nvSpPr>
        <xdr:cNvPr id="29" name="Arrow: Left 28">
          <a:extLst>
            <a:ext uri="{FF2B5EF4-FFF2-40B4-BE49-F238E27FC236}">
              <a16:creationId xmlns:a16="http://schemas.microsoft.com/office/drawing/2014/main" id="{852B85EA-3C6F-46FF-A5B2-34D67CCBFE9A}"/>
            </a:ext>
          </a:extLst>
        </xdr:cNvPr>
        <xdr:cNvSpPr/>
      </xdr:nvSpPr>
      <xdr:spPr>
        <a:xfrm>
          <a:off x="2912540" y="28010034"/>
          <a:ext cx="614935" cy="395039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2438401</xdr:colOff>
      <xdr:row>515</xdr:row>
      <xdr:rowOff>10886</xdr:rowOff>
    </xdr:from>
    <xdr:to>
      <xdr:col>2</xdr:col>
      <xdr:colOff>4060373</xdr:colOff>
      <xdr:row>517</xdr:row>
      <xdr:rowOff>8963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30BDB0-30D8-4D1D-A4EE-3C437EA5F588}"/>
            </a:ext>
          </a:extLst>
        </xdr:cNvPr>
        <xdr:cNvSpPr/>
      </xdr:nvSpPr>
      <xdr:spPr>
        <a:xfrm>
          <a:off x="2917372" y="28912457"/>
          <a:ext cx="1621972" cy="324649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71369</xdr:colOff>
      <xdr:row>514</xdr:row>
      <xdr:rowOff>101574</xdr:rowOff>
    </xdr:from>
    <xdr:to>
      <xdr:col>4</xdr:col>
      <xdr:colOff>76704</xdr:colOff>
      <xdr:row>517</xdr:row>
      <xdr:rowOff>6756</xdr:rowOff>
    </xdr:to>
    <xdr:sp macro="" textlink="">
      <xdr:nvSpPr>
        <xdr:cNvPr id="31" name="Arrow: Left 30">
          <a:extLst>
            <a:ext uri="{FF2B5EF4-FFF2-40B4-BE49-F238E27FC236}">
              <a16:creationId xmlns:a16="http://schemas.microsoft.com/office/drawing/2014/main" id="{B0751C3C-060B-4B93-BB0E-DAF6645D3A65}"/>
            </a:ext>
          </a:extLst>
        </xdr:cNvPr>
        <xdr:cNvSpPr/>
      </xdr:nvSpPr>
      <xdr:spPr>
        <a:xfrm>
          <a:off x="4676026" y="28839860"/>
          <a:ext cx="614935" cy="395039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311212</xdr:colOff>
      <xdr:row>2</xdr:row>
      <xdr:rowOff>86447</xdr:rowOff>
    </xdr:from>
    <xdr:to>
      <xdr:col>18</xdr:col>
      <xdr:colOff>311212</xdr:colOff>
      <xdr:row>4</xdr:row>
      <xdr:rowOff>58944</xdr:rowOff>
    </xdr:to>
    <xdr:sp macro="" textlink="">
      <xdr:nvSpPr>
        <xdr:cNvPr id="6" name="Title 1">
          <a:extLst>
            <a:ext uri="{FF2B5EF4-FFF2-40B4-BE49-F238E27FC236}">
              <a16:creationId xmlns:a16="http://schemas.microsoft.com/office/drawing/2014/main" id="{6952A9B3-3376-4F73-BB20-B5D97F740B2E}"/>
            </a:ext>
          </a:extLst>
        </xdr:cNvPr>
        <xdr:cNvSpPr>
          <a:spLocks noGrp="1"/>
        </xdr:cNvSpPr>
      </xdr:nvSpPr>
      <xdr:spPr>
        <a:xfrm>
          <a:off x="311212" y="254087"/>
          <a:ext cx="10972800" cy="307777"/>
        </a:xfrm>
        <a:prstGeom prst="rect">
          <a:avLst/>
        </a:prstGeom>
      </xdr:spPr>
      <xdr:txBody>
        <a:bodyPr vert="horz" wrap="square" lIns="0" tIns="0" rIns="0" bIns="0" rtlCol="0" anchor="t" anchorCtr="0">
          <a:normAutofit/>
        </a:bodyPr>
        <a:lstStyle>
          <a:lvl1pPr algn="l" defTabSz="914400" rtl="0" eaLnBrk="1" latinLnBrk="0" hangingPunct="1">
            <a:spcBef>
              <a:spcPct val="0"/>
            </a:spcBef>
            <a:buNone/>
            <a:defRPr sz="2000" b="1" kern="1200" baseline="0">
              <a:solidFill>
                <a:srgbClr val="702082"/>
              </a:solidFill>
              <a:latin typeface="+mj-lt"/>
              <a:ea typeface="+mj-ea"/>
              <a:cs typeface="+mj-cs"/>
            </a:defRPr>
          </a:lvl1pPr>
          <a:lvl2pPr eaLnBrk="1" hangingPunct="1">
            <a:defRPr>
              <a:solidFill>
                <a:schemeClr val="tx2"/>
              </a:solidFill>
            </a:defRPr>
          </a:lvl2pPr>
          <a:lvl3pPr eaLnBrk="1" hangingPunct="1">
            <a:defRPr>
              <a:solidFill>
                <a:schemeClr val="tx2"/>
              </a:solidFill>
            </a:defRPr>
          </a:lvl3pPr>
          <a:lvl4pPr eaLnBrk="1" hangingPunct="1">
            <a:defRPr>
              <a:solidFill>
                <a:schemeClr val="tx2"/>
              </a:solidFill>
            </a:defRPr>
          </a:lvl4pPr>
          <a:lvl5pPr eaLnBrk="1" hangingPunct="1">
            <a:defRPr>
              <a:solidFill>
                <a:schemeClr val="tx2"/>
              </a:solidFill>
            </a:defRPr>
          </a:lvl5pPr>
          <a:lvl6pPr eaLnBrk="1" hangingPunct="1">
            <a:defRPr>
              <a:solidFill>
                <a:schemeClr val="tx2"/>
              </a:solidFill>
            </a:defRPr>
          </a:lvl6pPr>
          <a:lvl7pPr eaLnBrk="1" hangingPunct="1">
            <a:defRPr>
              <a:solidFill>
                <a:schemeClr val="tx2"/>
              </a:solidFill>
            </a:defRPr>
          </a:lvl7pPr>
          <a:lvl8pPr eaLnBrk="1" hangingPunct="1">
            <a:defRPr>
              <a:solidFill>
                <a:schemeClr val="tx2"/>
              </a:solidFill>
            </a:defRPr>
          </a:lvl8pPr>
          <a:lvl9pPr eaLnBrk="1" hangingPunct="1">
            <a:defRPr>
              <a:solidFill>
                <a:schemeClr val="tx2"/>
              </a:solidFill>
            </a:defRPr>
          </a:lvl9pPr>
        </a:lstStyle>
        <a:p>
          <a:r>
            <a:rPr lang="en-GB" sz="1800"/>
            <a:t>XXX</a:t>
          </a:r>
        </a:p>
      </xdr:txBody>
    </xdr:sp>
    <xdr:clientData/>
  </xdr:twoCellAnchor>
  <xdr:twoCellAnchor>
    <xdr:from>
      <xdr:col>0</xdr:col>
      <xdr:colOff>0</xdr:colOff>
      <xdr:row>0</xdr:row>
      <xdr:rowOff>76198</xdr:rowOff>
    </xdr:from>
    <xdr:to>
      <xdr:col>14</xdr:col>
      <xdr:colOff>3537857</xdr:colOff>
      <xdr:row>4</xdr:row>
      <xdr:rowOff>10884</xdr:rowOff>
    </xdr:to>
    <xdr:grpSp>
      <xdr:nvGrpSpPr>
        <xdr:cNvPr id="13" name="Header">
          <a:extLst>
            <a:ext uri="{FF2B5EF4-FFF2-40B4-BE49-F238E27FC236}">
              <a16:creationId xmlns:a16="http://schemas.microsoft.com/office/drawing/2014/main" id="{A9258175-9A1E-402A-9D4A-503126883D86}"/>
            </a:ext>
          </a:extLst>
        </xdr:cNvPr>
        <xdr:cNvGrpSpPr/>
      </xdr:nvGrpSpPr>
      <xdr:grpSpPr>
        <a:xfrm>
          <a:off x="0" y="76198"/>
          <a:ext cx="15533914" cy="587829"/>
          <a:chOff x="0" y="163286"/>
          <a:chExt cx="15533914" cy="587829"/>
        </a:xfrm>
        <a:solidFill>
          <a:srgbClr val="85039F"/>
        </a:solidFill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DE931F4B-8970-4E85-A983-80D71B152059}"/>
              </a:ext>
            </a:extLst>
          </xdr:cNvPr>
          <xdr:cNvGrpSpPr/>
        </xdr:nvGrpSpPr>
        <xdr:grpSpPr>
          <a:xfrm>
            <a:off x="0" y="163286"/>
            <a:ext cx="15533914" cy="587829"/>
            <a:chOff x="0" y="163286"/>
            <a:chExt cx="15610114" cy="587829"/>
          </a:xfrm>
          <a:grpFill/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1370A8E2-645C-4AF3-AF10-5EBFC3878B7D}"/>
                </a:ext>
              </a:extLst>
            </xdr:cNvPr>
            <xdr:cNvSpPr/>
          </xdr:nvSpPr>
          <xdr:spPr>
            <a:xfrm>
              <a:off x="0" y="163286"/>
              <a:ext cx="15610114" cy="587829"/>
            </a:xfrm>
            <a:prstGeom prst="rect">
              <a:avLst/>
            </a:prstGeom>
            <a:solidFill>
              <a:srgbClr val="63007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GB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Arial"/>
                <a:ea typeface="+mn-ea"/>
                <a:cs typeface="+mn-cs"/>
              </a:endParaRPr>
            </a:p>
          </xdr:txBody>
        </xdr:sp>
        <xdr:sp macro="" textlink="">
          <xdr:nvSpPr>
            <xdr:cNvPr id="8" name="Title 1">
              <a:extLst>
                <a:ext uri="{FF2B5EF4-FFF2-40B4-BE49-F238E27FC236}">
                  <a16:creationId xmlns:a16="http://schemas.microsoft.com/office/drawing/2014/main" id="{E509928A-767A-4229-9B41-EC6C4DAA850F}"/>
                </a:ext>
              </a:extLst>
            </xdr:cNvPr>
            <xdr:cNvSpPr txBox="1">
              <a:spLocks/>
            </xdr:cNvSpPr>
          </xdr:nvSpPr>
          <xdr:spPr>
            <a:xfrm>
              <a:off x="609600" y="368050"/>
              <a:ext cx="10602686" cy="295980"/>
            </a:xfrm>
            <a:prstGeom prst="rect">
              <a:avLst/>
            </a:prstGeom>
            <a:solidFill>
              <a:srgbClr val="630070"/>
            </a:solidFill>
          </xdr:spPr>
          <xdr:txBody>
            <a:bodyPr vert="horz" wrap="square" lIns="0" tIns="0" rIns="0" bIns="0" rtlCol="0" anchor="t" anchorCtr="0">
              <a:norm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ct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800" b="1" i="0" u="none" strike="noStrike" kern="1200" cap="none" spc="0" normalizeH="0" baseline="0">
                  <a:ln>
                    <a:noFill/>
                  </a:ln>
                  <a:solidFill>
                    <a:prstClr val="white"/>
                  </a:solidFill>
                  <a:effectLst/>
                  <a:uLnTx/>
                  <a:uFillTx/>
                  <a:latin typeface="Arial"/>
                  <a:ea typeface="+mj-ea"/>
                  <a:cs typeface="+mj-cs"/>
                </a:rPr>
                <a:t>Which areas are important for your company</a:t>
              </a:r>
              <a:r>
                <a:rPr lang="en-GB" sz="1800">
                  <a:solidFill>
                    <a:prstClr val="white"/>
                  </a:solidFill>
                  <a:latin typeface="Arial"/>
                </a:rPr>
                <a:t>?</a:t>
              </a:r>
              <a:endParaRPr kumimoji="0" lang="en-GB" sz="1800" b="1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Arial"/>
                <a:ea typeface="+mj-ea"/>
                <a:cs typeface="+mj-cs"/>
              </a:endParaRPr>
            </a:p>
          </xdr:txBody>
        </xdr: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20A6576-F82E-4492-8947-73D7543C446B}"/>
              </a:ext>
            </a:extLst>
          </xdr:cNvPr>
          <xdr:cNvSpPr/>
        </xdr:nvSpPr>
        <xdr:spPr>
          <a:xfrm>
            <a:off x="11321410" y="212373"/>
            <a:ext cx="4114533" cy="488830"/>
          </a:xfrm>
          <a:prstGeom prst="rect">
            <a:avLst/>
          </a:prstGeom>
          <a:solidFill>
            <a:sysClr val="window" lastClr="FFFF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050" b="1" i="1">
                <a:solidFill>
                  <a:srgbClr val="FF0000"/>
                </a:solidFill>
              </a:rPr>
              <a:t>S</a:t>
            </a:r>
            <a:r>
              <a:rPr lang="en-US" sz="1050" b="1" i="1">
                <a:solidFill>
                  <a:schemeClr val="tx1"/>
                </a:solidFill>
              </a:rPr>
              <a:t> = </a:t>
            </a:r>
            <a:r>
              <a:rPr lang="en-US" sz="1050" i="1">
                <a:solidFill>
                  <a:schemeClr val="tx1"/>
                </a:solidFill>
              </a:rPr>
              <a:t>Important in </a:t>
            </a:r>
            <a:r>
              <a:rPr lang="en-US" sz="1050" b="1" i="1">
                <a:solidFill>
                  <a:schemeClr val="tx1"/>
                </a:solidFill>
              </a:rPr>
              <a:t>short-term </a:t>
            </a:r>
            <a:r>
              <a:rPr lang="en-US" sz="1050" i="1">
                <a:solidFill>
                  <a:schemeClr val="tx1"/>
                </a:solidFill>
              </a:rPr>
              <a:t>(next 12 months)</a:t>
            </a:r>
          </a:p>
          <a:p>
            <a:r>
              <a:rPr lang="en-US" sz="1050" b="1" i="1">
                <a:solidFill>
                  <a:schemeClr val="accent2"/>
                </a:solidFill>
              </a:rPr>
              <a:t>M</a:t>
            </a:r>
            <a:r>
              <a:rPr lang="en-US" sz="1050" b="1" i="1">
                <a:solidFill>
                  <a:schemeClr val="tx1"/>
                </a:solidFill>
              </a:rPr>
              <a:t> = </a:t>
            </a:r>
            <a:r>
              <a:rPr lang="en-US" sz="1050" i="1">
                <a:solidFill>
                  <a:schemeClr val="tx1"/>
                </a:solidFill>
              </a:rPr>
              <a:t>Important in </a:t>
            </a:r>
            <a:r>
              <a:rPr lang="en-US" sz="1050" b="1" i="1">
                <a:solidFill>
                  <a:schemeClr val="tx1"/>
                </a:solidFill>
              </a:rPr>
              <a:t>mid-term </a:t>
            </a:r>
            <a:r>
              <a:rPr lang="en-US" sz="1050" i="1">
                <a:solidFill>
                  <a:schemeClr val="tx1"/>
                </a:solidFill>
              </a:rPr>
              <a:t>(next 12-24 months)</a:t>
            </a:r>
          </a:p>
          <a:p>
            <a:r>
              <a:rPr lang="en-US" sz="1050" b="1" i="1">
                <a:solidFill>
                  <a:srgbClr val="00B050"/>
                </a:solidFill>
              </a:rPr>
              <a:t>L</a:t>
            </a:r>
            <a:r>
              <a:rPr lang="en-US" sz="1050" b="1" i="1">
                <a:solidFill>
                  <a:schemeClr val="tx1"/>
                </a:solidFill>
              </a:rPr>
              <a:t> = </a:t>
            </a:r>
            <a:r>
              <a:rPr lang="en-US" sz="1050" i="1">
                <a:solidFill>
                  <a:schemeClr val="tx1"/>
                </a:solidFill>
              </a:rPr>
              <a:t>Important in </a:t>
            </a:r>
            <a:r>
              <a:rPr lang="en-US" sz="1050" b="1" i="1">
                <a:solidFill>
                  <a:schemeClr val="tx1"/>
                </a:solidFill>
              </a:rPr>
              <a:t>long-term </a:t>
            </a:r>
            <a:r>
              <a:rPr lang="en-US" sz="1050" i="1">
                <a:solidFill>
                  <a:schemeClr val="tx1"/>
                </a:solidFill>
              </a:rPr>
              <a:t>(24 months and beyond)</a:t>
            </a:r>
          </a:p>
        </xdr:txBody>
      </xdr:sp>
    </xdr:grpSp>
    <xdr:clientData/>
  </xdr:twoCellAnchor>
  <xdr:twoCellAnchor>
    <xdr:from>
      <xdr:col>2</xdr:col>
      <xdr:colOff>87086</xdr:colOff>
      <xdr:row>23</xdr:row>
      <xdr:rowOff>32658</xdr:rowOff>
    </xdr:from>
    <xdr:to>
      <xdr:col>6</xdr:col>
      <xdr:colOff>3348446</xdr:colOff>
      <xdr:row>23</xdr:row>
      <xdr:rowOff>123605</xdr:rowOff>
    </xdr:to>
    <xdr:sp macro="" textlink="">
      <xdr:nvSpPr>
        <xdr:cNvPr id="10" name="Footer Placeholder 5">
          <a:extLst>
            <a:ext uri="{FF2B5EF4-FFF2-40B4-BE49-F238E27FC236}">
              <a16:creationId xmlns:a16="http://schemas.microsoft.com/office/drawing/2014/main" id="{7DCD7B31-C52E-4096-B541-9E1B60ED2F4C}"/>
            </a:ext>
          </a:extLst>
        </xdr:cNvPr>
        <xdr:cNvSpPr>
          <a:spLocks noGrp="1"/>
        </xdr:cNvSpPr>
      </xdr:nvSpPr>
      <xdr:spPr>
        <a:xfrm>
          <a:off x="1306286" y="7032172"/>
          <a:ext cx="5394960" cy="90947"/>
        </a:xfrm>
        <a:prstGeom prst="rect">
          <a:avLst/>
        </a:prstGeom>
      </xdr:spPr>
      <xdr:txBody>
        <a:bodyPr vert="horz" wrap="square" lIns="0" tIns="0" rIns="0" bIns="0" rtlCol="0" anchor="t" anchorCtr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6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"/>
              <a:ea typeface="+mn-ea"/>
              <a:cs typeface="+mn-cs"/>
            </a:rPr>
            <a:t>© 2021 Willis Towers Watson. All rights reserved. Proprietary and Confidential. For Willis Towers Watson and Willis Towers Watson client use only.</a:t>
          </a:r>
          <a:endParaRPr kumimoji="0" lang="en-US" sz="600" b="0" i="0" u="none" strike="noStrike" kern="1200" cap="none" spc="0" normalizeH="0" baseline="0">
            <a:ln>
              <a:noFill/>
            </a:ln>
            <a:solidFill>
              <a:prstClr val="black"/>
            </a:solidFill>
            <a:effectLst/>
            <a:uLnTx/>
            <a:uFillTx/>
            <a:latin typeface="Arial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228600</xdr:colOff>
      <xdr:row>6</xdr:row>
      <xdr:rowOff>87086</xdr:rowOff>
    </xdr:from>
    <xdr:to>
      <xdr:col>17</xdr:col>
      <xdr:colOff>1915885</xdr:colOff>
      <xdr:row>7</xdr:row>
      <xdr:rowOff>239486</xdr:rowOff>
    </xdr:to>
    <xdr:sp macro="[0]!ExcelRangeToPowerPointV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C9E1F6E-59F6-465C-B2A1-C8C7BB502152}"/>
            </a:ext>
          </a:extLst>
        </xdr:cNvPr>
        <xdr:cNvSpPr/>
      </xdr:nvSpPr>
      <xdr:spPr>
        <a:xfrm>
          <a:off x="16383000" y="1306286"/>
          <a:ext cx="1970314" cy="544286"/>
        </a:xfrm>
        <a:prstGeom prst="roundRect">
          <a:avLst/>
        </a:prstGeom>
        <a:solidFill>
          <a:srgbClr val="63007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Create Powerpoint</a:t>
          </a:r>
        </a:p>
      </xdr:txBody>
    </xdr:sp>
    <xdr:clientData/>
  </xdr:twoCellAnchor>
  <xdr:twoCellAnchor editAs="absolute">
    <xdr:from>
      <xdr:col>16</xdr:col>
      <xdr:colOff>217714</xdr:colOff>
      <xdr:row>4</xdr:row>
      <xdr:rowOff>21771</xdr:rowOff>
    </xdr:from>
    <xdr:to>
      <xdr:col>17</xdr:col>
      <xdr:colOff>1904999</xdr:colOff>
      <xdr:row>6</xdr:row>
      <xdr:rowOff>0</xdr:rowOff>
    </xdr:to>
    <xdr:sp macro="[0]!ExtracData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C34350C-50C3-47ED-945B-CE9E2392521C}"/>
            </a:ext>
          </a:extLst>
        </xdr:cNvPr>
        <xdr:cNvSpPr/>
      </xdr:nvSpPr>
      <xdr:spPr>
        <a:xfrm>
          <a:off x="16372114" y="674914"/>
          <a:ext cx="1970314" cy="544286"/>
        </a:xfrm>
        <a:prstGeom prst="roundRect">
          <a:avLst/>
        </a:prstGeom>
        <a:solidFill>
          <a:srgbClr val="63007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C49CC-E9B0-4356-BB8B-9F60154B891D}">
  <sheetPr codeName="Sheet4"/>
  <dimension ref="A1:R607"/>
  <sheetViews>
    <sheetView zoomScale="70" zoomScaleNormal="70" workbookViewId="0">
      <selection activeCell="N528" sqref="N528"/>
    </sheetView>
  </sheetViews>
  <sheetFormatPr defaultColWidth="0" defaultRowHeight="13.2" zeroHeight="1" x14ac:dyDescent="0.25"/>
  <cols>
    <col min="1" max="1" width="2.21875" style="27" customWidth="1"/>
    <col min="2" max="2" width="4.77734375" style="28" customWidth="1"/>
    <col min="3" max="3" width="60.21875" customWidth="1"/>
    <col min="4" max="18" width="8.88671875" customWidth="1"/>
    <col min="19" max="16384" width="8.88671875" hidden="1"/>
  </cols>
  <sheetData>
    <row r="1" spans="1:18" x14ac:dyDescent="0.25">
      <c r="A1" s="29"/>
      <c r="B1" s="30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2"/>
    </row>
    <row r="2" spans="1:18" x14ac:dyDescent="0.25">
      <c r="A2" s="33"/>
      <c r="B2" s="34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x14ac:dyDescent="0.25">
      <c r="A3" s="33"/>
      <c r="B3" s="34" t="s">
        <v>1110</v>
      </c>
      <c r="C3" s="35" t="s">
        <v>1111</v>
      </c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6"/>
    </row>
    <row r="4" spans="1:18" x14ac:dyDescent="0.25">
      <c r="A4" s="33"/>
      <c r="B4" s="34" t="s">
        <v>1112</v>
      </c>
      <c r="C4" s="35" t="s">
        <v>1113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</row>
    <row r="5" spans="1:18" x14ac:dyDescent="0.25">
      <c r="A5" s="33"/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</row>
    <row r="6" spans="1:18" x14ac:dyDescent="0.25">
      <c r="A6" s="33"/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6"/>
    </row>
    <row r="7" spans="1:18" x14ac:dyDescent="0.25">
      <c r="A7" s="33"/>
      <c r="B7" s="34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6"/>
    </row>
    <row r="8" spans="1:18" x14ac:dyDescent="0.25">
      <c r="A8" s="33"/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6"/>
    </row>
    <row r="9" spans="1:18" x14ac:dyDescent="0.25">
      <c r="A9" s="33"/>
      <c r="B9" s="34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6"/>
    </row>
    <row r="10" spans="1:18" x14ac:dyDescent="0.25">
      <c r="A10" s="33"/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6"/>
    </row>
    <row r="11" spans="1:18" x14ac:dyDescent="0.25">
      <c r="A11" s="33"/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6"/>
    </row>
    <row r="12" spans="1:18" x14ac:dyDescent="0.25">
      <c r="A12" s="33"/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x14ac:dyDescent="0.25">
      <c r="A13" s="33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6"/>
    </row>
    <row r="14" spans="1:18" x14ac:dyDescent="0.25">
      <c r="A14" s="33"/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6"/>
    </row>
    <row r="15" spans="1:18" x14ac:dyDescent="0.25">
      <c r="A15" s="33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6"/>
    </row>
    <row r="16" spans="1:18" x14ac:dyDescent="0.25">
      <c r="A16" s="33"/>
      <c r="B16" s="34" t="s">
        <v>1114</v>
      </c>
      <c r="C16" s="35" t="s">
        <v>1115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6"/>
    </row>
    <row r="17" spans="1:18" x14ac:dyDescent="0.25">
      <c r="A17" s="33"/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6"/>
    </row>
    <row r="18" spans="1:18" x14ac:dyDescent="0.25">
      <c r="A18" s="33"/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6"/>
    </row>
    <row r="19" spans="1:18" x14ac:dyDescent="0.25">
      <c r="A19" s="33"/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6"/>
    </row>
    <row r="20" spans="1:18" x14ac:dyDescent="0.25">
      <c r="A20" s="33"/>
      <c r="B20" s="34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6"/>
    </row>
    <row r="21" spans="1:18" x14ac:dyDescent="0.25">
      <c r="A21" s="33"/>
      <c r="B21" s="34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2" spans="1:18" x14ac:dyDescent="0.25">
      <c r="A22" s="33"/>
      <c r="B22" s="34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6"/>
    </row>
    <row r="23" spans="1:18" x14ac:dyDescent="0.25">
      <c r="A23" s="33"/>
      <c r="B23" s="34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6"/>
    </row>
    <row r="24" spans="1:18" x14ac:dyDescent="0.25">
      <c r="A24" s="33"/>
      <c r="B24" s="34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6"/>
    </row>
    <row r="25" spans="1:18" x14ac:dyDescent="0.25">
      <c r="A25" s="33"/>
      <c r="B25" s="34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6"/>
    </row>
    <row r="26" spans="1:18" x14ac:dyDescent="0.25">
      <c r="A26" s="33"/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6"/>
    </row>
    <row r="27" spans="1:18" x14ac:dyDescent="0.25">
      <c r="A27" s="33"/>
      <c r="B27" s="34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6"/>
    </row>
    <row r="28" spans="1:18" x14ac:dyDescent="0.25">
      <c r="A28" s="33"/>
      <c r="B28" s="34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6"/>
    </row>
    <row r="29" spans="1:18" x14ac:dyDescent="0.25">
      <c r="A29" s="33"/>
      <c r="B29" s="34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6"/>
    </row>
    <row r="30" spans="1:18" x14ac:dyDescent="0.25">
      <c r="A30" s="33"/>
      <c r="B30" s="34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6"/>
    </row>
    <row r="31" spans="1:18" x14ac:dyDescent="0.25">
      <c r="A31" s="33"/>
      <c r="B31" s="34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6"/>
    </row>
    <row r="32" spans="1:18" x14ac:dyDescent="0.25">
      <c r="A32" s="33"/>
      <c r="B32" s="34" t="s">
        <v>1116</v>
      </c>
      <c r="C32" s="35" t="s">
        <v>1117</v>
      </c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6"/>
    </row>
    <row r="33" spans="1:18" x14ac:dyDescent="0.25">
      <c r="A33" s="33"/>
      <c r="B33" s="34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6"/>
    </row>
    <row r="34" spans="1:18" x14ac:dyDescent="0.25">
      <c r="A34" s="33"/>
      <c r="B34" s="34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6"/>
    </row>
    <row r="35" spans="1:18" x14ac:dyDescent="0.25">
      <c r="A35" s="33"/>
      <c r="B35" s="34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6"/>
    </row>
    <row r="36" spans="1:18" x14ac:dyDescent="0.25">
      <c r="A36" s="33"/>
      <c r="B36" s="34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6"/>
    </row>
    <row r="37" spans="1:18" x14ac:dyDescent="0.25">
      <c r="A37" s="33"/>
      <c r="B37" s="34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6"/>
    </row>
    <row r="38" spans="1:18" x14ac:dyDescent="0.25">
      <c r="A38" s="33"/>
      <c r="B38" s="34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6"/>
    </row>
    <row r="39" spans="1:18" x14ac:dyDescent="0.25">
      <c r="A39" s="33"/>
      <c r="B39" s="34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6"/>
    </row>
    <row r="40" spans="1:18" x14ac:dyDescent="0.25">
      <c r="A40" s="33"/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1" spans="1:18" x14ac:dyDescent="0.25">
      <c r="A41" s="33"/>
      <c r="B41" s="34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6"/>
    </row>
    <row r="42" spans="1:18" x14ac:dyDescent="0.25">
      <c r="A42" s="33"/>
      <c r="B42" s="34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</row>
    <row r="43" spans="1:18" x14ac:dyDescent="0.25">
      <c r="A43" s="33"/>
      <c r="B43" s="34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6"/>
    </row>
    <row r="44" spans="1:18" x14ac:dyDescent="0.25">
      <c r="A44" s="33"/>
      <c r="B44" s="34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6"/>
    </row>
    <row r="45" spans="1:18" x14ac:dyDescent="0.25">
      <c r="A45" s="33"/>
      <c r="B45" s="34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6"/>
    </row>
    <row r="46" spans="1:18" x14ac:dyDescent="0.25">
      <c r="A46" s="33"/>
      <c r="B46" s="34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6"/>
    </row>
    <row r="47" spans="1:18" x14ac:dyDescent="0.25">
      <c r="A47" s="33"/>
      <c r="B47" s="34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6"/>
    </row>
    <row r="48" spans="1:18" x14ac:dyDescent="0.25">
      <c r="A48" s="33"/>
      <c r="B48" s="34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6"/>
    </row>
    <row r="49" spans="1:18" x14ac:dyDescent="0.25">
      <c r="A49" s="33"/>
      <c r="B49" s="34" t="s">
        <v>1118</v>
      </c>
      <c r="C49" s="35" t="s">
        <v>1119</v>
      </c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6"/>
    </row>
    <row r="50" spans="1:18" x14ac:dyDescent="0.25">
      <c r="A50" s="33"/>
      <c r="B50" s="34" t="s">
        <v>1120</v>
      </c>
      <c r="C50" s="35" t="s">
        <v>1121</v>
      </c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6"/>
    </row>
    <row r="51" spans="1:18" x14ac:dyDescent="0.25">
      <c r="A51" s="33"/>
      <c r="B51" s="34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6"/>
    </row>
    <row r="52" spans="1:18" x14ac:dyDescent="0.25">
      <c r="A52" s="33"/>
      <c r="B52" s="34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6"/>
    </row>
    <row r="53" spans="1:18" x14ac:dyDescent="0.25">
      <c r="A53" s="33"/>
      <c r="B53" s="34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6"/>
    </row>
    <row r="54" spans="1:18" x14ac:dyDescent="0.25">
      <c r="A54" s="33"/>
      <c r="B54" s="34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6"/>
    </row>
    <row r="55" spans="1:18" x14ac:dyDescent="0.25">
      <c r="A55" s="33"/>
      <c r="B55" s="34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6"/>
    </row>
    <row r="56" spans="1:18" x14ac:dyDescent="0.25">
      <c r="A56" s="33"/>
      <c r="B56" s="34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6"/>
    </row>
    <row r="57" spans="1:18" x14ac:dyDescent="0.25">
      <c r="A57" s="33"/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6"/>
    </row>
    <row r="58" spans="1:18" x14ac:dyDescent="0.25">
      <c r="A58" s="33"/>
      <c r="B58" s="34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6"/>
    </row>
    <row r="59" spans="1:18" x14ac:dyDescent="0.25">
      <c r="A59" s="33"/>
      <c r="B59" s="34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6"/>
    </row>
    <row r="60" spans="1:18" x14ac:dyDescent="0.25">
      <c r="A60" s="33"/>
      <c r="B60" s="34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</row>
    <row r="61" spans="1:18" x14ac:dyDescent="0.25">
      <c r="A61" s="33"/>
      <c r="B61" s="34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6"/>
    </row>
    <row r="62" spans="1:18" hidden="1" x14ac:dyDescent="0.25">
      <c r="A62" s="33"/>
      <c r="B62" s="34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6"/>
    </row>
    <row r="63" spans="1:18" hidden="1" x14ac:dyDescent="0.25">
      <c r="A63" s="33"/>
      <c r="B63" s="34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6"/>
    </row>
    <row r="64" spans="1:18" hidden="1" x14ac:dyDescent="0.25">
      <c r="A64" s="33"/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6"/>
    </row>
    <row r="65" spans="1:18" hidden="1" x14ac:dyDescent="0.25">
      <c r="A65" s="33"/>
      <c r="B65" s="34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6"/>
    </row>
    <row r="66" spans="1:18" hidden="1" x14ac:dyDescent="0.25">
      <c r="A66" s="33"/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6"/>
    </row>
    <row r="67" spans="1:18" hidden="1" x14ac:dyDescent="0.25">
      <c r="A67" s="33"/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6"/>
    </row>
    <row r="68" spans="1:18" hidden="1" x14ac:dyDescent="0.25">
      <c r="A68" s="33"/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6"/>
    </row>
    <row r="69" spans="1:18" hidden="1" x14ac:dyDescent="0.25">
      <c r="A69" s="33"/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6"/>
    </row>
    <row r="70" spans="1:18" hidden="1" x14ac:dyDescent="0.25">
      <c r="A70" s="33"/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6"/>
    </row>
    <row r="71" spans="1:18" hidden="1" x14ac:dyDescent="0.25">
      <c r="A71" s="33"/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6"/>
    </row>
    <row r="72" spans="1:18" hidden="1" x14ac:dyDescent="0.25">
      <c r="A72" s="33"/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6"/>
    </row>
    <row r="73" spans="1:18" hidden="1" x14ac:dyDescent="0.25">
      <c r="A73" s="33"/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6"/>
    </row>
    <row r="74" spans="1:18" hidden="1" x14ac:dyDescent="0.25">
      <c r="A74" s="33"/>
      <c r="B74" s="34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6"/>
    </row>
    <row r="75" spans="1:18" hidden="1" x14ac:dyDescent="0.25">
      <c r="A75" s="33"/>
      <c r="B75" s="34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6"/>
    </row>
    <row r="76" spans="1:18" hidden="1" x14ac:dyDescent="0.25">
      <c r="A76" s="33"/>
      <c r="B76" s="34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6"/>
    </row>
    <row r="77" spans="1:18" hidden="1" x14ac:dyDescent="0.25">
      <c r="A77" s="33"/>
      <c r="B77" s="34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6"/>
    </row>
    <row r="78" spans="1:18" hidden="1" x14ac:dyDescent="0.25">
      <c r="A78" s="33"/>
      <c r="B78" s="34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6"/>
    </row>
    <row r="79" spans="1:18" hidden="1" x14ac:dyDescent="0.25">
      <c r="A79" s="33"/>
      <c r="B79" s="34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6"/>
    </row>
    <row r="80" spans="1:18" hidden="1" x14ac:dyDescent="0.25">
      <c r="A80" s="33"/>
      <c r="B80" s="34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6"/>
    </row>
    <row r="81" spans="1:18" hidden="1" x14ac:dyDescent="0.25">
      <c r="A81" s="33"/>
      <c r="B81" s="34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6"/>
    </row>
    <row r="82" spans="1:18" hidden="1" x14ac:dyDescent="0.25">
      <c r="A82" s="33"/>
      <c r="B82" s="34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6"/>
    </row>
    <row r="83" spans="1:18" hidden="1" x14ac:dyDescent="0.25">
      <c r="A83" s="33"/>
      <c r="B83" s="34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6"/>
    </row>
    <row r="84" spans="1:18" hidden="1" x14ac:dyDescent="0.25">
      <c r="A84" s="33"/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6"/>
    </row>
    <row r="85" spans="1:18" hidden="1" x14ac:dyDescent="0.25">
      <c r="A85" s="33"/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6"/>
    </row>
    <row r="86" spans="1:18" hidden="1" x14ac:dyDescent="0.25">
      <c r="A86" s="33"/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6"/>
    </row>
    <row r="87" spans="1:18" hidden="1" x14ac:dyDescent="0.25">
      <c r="A87" s="33"/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6"/>
    </row>
    <row r="88" spans="1:18" hidden="1" x14ac:dyDescent="0.25">
      <c r="A88" s="33"/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6"/>
    </row>
    <row r="89" spans="1:18" hidden="1" x14ac:dyDescent="0.25">
      <c r="A89" s="33"/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6"/>
    </row>
    <row r="90" spans="1:18" hidden="1" x14ac:dyDescent="0.25">
      <c r="A90" s="33"/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6"/>
    </row>
    <row r="91" spans="1:18" hidden="1" x14ac:dyDescent="0.25">
      <c r="A91" s="33"/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6"/>
    </row>
    <row r="92" spans="1:18" hidden="1" x14ac:dyDescent="0.25">
      <c r="A92" s="33"/>
      <c r="B92" s="34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6"/>
    </row>
    <row r="93" spans="1:18" hidden="1" x14ac:dyDescent="0.25">
      <c r="A93" s="33"/>
      <c r="B93" s="34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6"/>
    </row>
    <row r="94" spans="1:18" hidden="1" x14ac:dyDescent="0.25">
      <c r="A94" s="33"/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6"/>
    </row>
    <row r="95" spans="1:18" hidden="1" x14ac:dyDescent="0.25">
      <c r="A95" s="33"/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6"/>
    </row>
    <row r="96" spans="1:18" hidden="1" x14ac:dyDescent="0.25">
      <c r="A96" s="33"/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6"/>
    </row>
    <row r="97" spans="1:18" hidden="1" x14ac:dyDescent="0.25">
      <c r="A97" s="33"/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6"/>
    </row>
    <row r="98" spans="1:18" hidden="1" x14ac:dyDescent="0.25">
      <c r="A98" s="33"/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6"/>
    </row>
    <row r="99" spans="1:18" hidden="1" x14ac:dyDescent="0.25">
      <c r="A99" s="33"/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6"/>
    </row>
    <row r="100" spans="1:18" hidden="1" x14ac:dyDescent="0.25">
      <c r="A100" s="33"/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6"/>
    </row>
    <row r="101" spans="1:18" hidden="1" x14ac:dyDescent="0.25">
      <c r="A101" s="33"/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6"/>
    </row>
    <row r="102" spans="1:18" hidden="1" x14ac:dyDescent="0.25">
      <c r="A102" s="33"/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6"/>
    </row>
    <row r="103" spans="1:18" hidden="1" x14ac:dyDescent="0.25">
      <c r="A103" s="33"/>
      <c r="B103" s="34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6"/>
    </row>
    <row r="104" spans="1:18" hidden="1" x14ac:dyDescent="0.25">
      <c r="A104" s="33"/>
      <c r="B104" s="34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6"/>
    </row>
    <row r="105" spans="1:18" hidden="1" x14ac:dyDescent="0.25">
      <c r="A105" s="33"/>
      <c r="B105" s="34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6"/>
    </row>
    <row r="106" spans="1:18" hidden="1" x14ac:dyDescent="0.25">
      <c r="A106" s="33"/>
      <c r="B106" s="34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6"/>
    </row>
    <row r="107" spans="1:18" hidden="1" x14ac:dyDescent="0.25">
      <c r="A107" s="33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6"/>
    </row>
    <row r="108" spans="1:18" hidden="1" x14ac:dyDescent="0.25">
      <c r="A108" s="33"/>
      <c r="B108" s="34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6"/>
    </row>
    <row r="109" spans="1:18" hidden="1" x14ac:dyDescent="0.25">
      <c r="A109" s="33"/>
      <c r="B109" s="34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6"/>
    </row>
    <row r="110" spans="1:18" hidden="1" x14ac:dyDescent="0.25">
      <c r="A110" s="33"/>
      <c r="B110" s="34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6"/>
    </row>
    <row r="111" spans="1:18" hidden="1" x14ac:dyDescent="0.25">
      <c r="A111" s="33"/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6"/>
    </row>
    <row r="112" spans="1:18" hidden="1" x14ac:dyDescent="0.25">
      <c r="A112" s="33"/>
      <c r="B112" s="34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6"/>
    </row>
    <row r="113" spans="1:18" hidden="1" x14ac:dyDescent="0.25">
      <c r="A113" s="33"/>
      <c r="B113" s="34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6"/>
    </row>
    <row r="114" spans="1:18" hidden="1" x14ac:dyDescent="0.25">
      <c r="A114" s="33"/>
      <c r="B114" s="34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6"/>
    </row>
    <row r="115" spans="1:18" hidden="1" x14ac:dyDescent="0.25">
      <c r="A115" s="33"/>
      <c r="B115" s="34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6"/>
    </row>
    <row r="116" spans="1:18" hidden="1" x14ac:dyDescent="0.25">
      <c r="A116" s="33"/>
      <c r="B116" s="34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6"/>
    </row>
    <row r="117" spans="1:18" hidden="1" x14ac:dyDescent="0.25">
      <c r="A117" s="33"/>
      <c r="B117" s="34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6"/>
    </row>
    <row r="118" spans="1:18" hidden="1" x14ac:dyDescent="0.25">
      <c r="A118" s="33"/>
      <c r="B118" s="34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6"/>
    </row>
    <row r="119" spans="1:18" hidden="1" x14ac:dyDescent="0.25">
      <c r="A119" s="33"/>
      <c r="B119" s="34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6"/>
    </row>
    <row r="120" spans="1:18" hidden="1" x14ac:dyDescent="0.25">
      <c r="A120" s="33"/>
      <c r="B120" s="34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6"/>
    </row>
    <row r="121" spans="1:18" hidden="1" x14ac:dyDescent="0.25">
      <c r="A121" s="33"/>
      <c r="B121" s="34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6"/>
    </row>
    <row r="122" spans="1:18" hidden="1" x14ac:dyDescent="0.25">
      <c r="A122" s="33"/>
      <c r="B122" s="34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6"/>
    </row>
    <row r="123" spans="1:18" hidden="1" x14ac:dyDescent="0.25">
      <c r="A123" s="33"/>
      <c r="B123" s="34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6"/>
    </row>
    <row r="124" spans="1:18" hidden="1" x14ac:dyDescent="0.25">
      <c r="A124" s="33"/>
      <c r="B124" s="34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6"/>
    </row>
    <row r="125" spans="1:18" hidden="1" x14ac:dyDescent="0.25">
      <c r="A125" s="33"/>
      <c r="B125" s="34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6"/>
    </row>
    <row r="126" spans="1:18" hidden="1" x14ac:dyDescent="0.25">
      <c r="A126" s="33"/>
      <c r="B126" s="34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6"/>
    </row>
    <row r="127" spans="1:18" hidden="1" x14ac:dyDescent="0.25">
      <c r="A127" s="33"/>
      <c r="B127" s="34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6"/>
    </row>
    <row r="128" spans="1:18" hidden="1" x14ac:dyDescent="0.25">
      <c r="A128" s="33"/>
      <c r="B128" s="34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6"/>
    </row>
    <row r="129" spans="1:18" hidden="1" x14ac:dyDescent="0.25">
      <c r="A129" s="33"/>
      <c r="B129" s="34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6"/>
    </row>
    <row r="130" spans="1:18" hidden="1" x14ac:dyDescent="0.25">
      <c r="A130" s="33"/>
      <c r="B130" s="34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6"/>
    </row>
    <row r="131" spans="1:18" hidden="1" x14ac:dyDescent="0.25">
      <c r="A131" s="33"/>
      <c r="B131" s="34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6"/>
    </row>
    <row r="132" spans="1:18" hidden="1" x14ac:dyDescent="0.25">
      <c r="A132" s="33"/>
      <c r="B132" s="34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6"/>
    </row>
    <row r="133" spans="1:18" hidden="1" x14ac:dyDescent="0.25">
      <c r="A133" s="33"/>
      <c r="B133" s="34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6"/>
    </row>
    <row r="134" spans="1:18" hidden="1" x14ac:dyDescent="0.25">
      <c r="A134" s="33"/>
      <c r="B134" s="34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6"/>
    </row>
    <row r="135" spans="1:18" hidden="1" x14ac:dyDescent="0.25">
      <c r="A135" s="33"/>
      <c r="B135" s="34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6"/>
    </row>
    <row r="136" spans="1:18" hidden="1" x14ac:dyDescent="0.25">
      <c r="A136" s="33"/>
      <c r="B136" s="34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6"/>
    </row>
    <row r="137" spans="1:18" hidden="1" x14ac:dyDescent="0.25">
      <c r="A137" s="33"/>
      <c r="B137" s="34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6"/>
    </row>
    <row r="138" spans="1:18" hidden="1" x14ac:dyDescent="0.25">
      <c r="A138" s="33"/>
      <c r="B138" s="34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6"/>
    </row>
    <row r="139" spans="1:18" hidden="1" x14ac:dyDescent="0.25">
      <c r="A139" s="33"/>
      <c r="B139" s="34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6"/>
    </row>
    <row r="140" spans="1:18" hidden="1" x14ac:dyDescent="0.25">
      <c r="A140" s="33"/>
      <c r="B140" s="34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6"/>
    </row>
    <row r="141" spans="1:18" hidden="1" x14ac:dyDescent="0.25">
      <c r="A141" s="33"/>
      <c r="B141" s="34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6"/>
    </row>
    <row r="142" spans="1:18" hidden="1" x14ac:dyDescent="0.25">
      <c r="A142" s="33"/>
      <c r="B142" s="34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6"/>
    </row>
    <row r="143" spans="1:18" hidden="1" x14ac:dyDescent="0.25">
      <c r="A143" s="33"/>
      <c r="B143" s="34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6"/>
    </row>
    <row r="144" spans="1:18" hidden="1" x14ac:dyDescent="0.25">
      <c r="A144" s="33"/>
      <c r="B144" s="34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6"/>
    </row>
    <row r="145" spans="1:18" hidden="1" x14ac:dyDescent="0.25">
      <c r="A145" s="33"/>
      <c r="B145" s="34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6"/>
    </row>
    <row r="146" spans="1:18" hidden="1" x14ac:dyDescent="0.25">
      <c r="A146" s="33"/>
      <c r="B146" s="34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6"/>
    </row>
    <row r="147" spans="1:18" hidden="1" x14ac:dyDescent="0.25">
      <c r="A147" s="33"/>
      <c r="B147" s="34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6"/>
    </row>
    <row r="148" spans="1:18" hidden="1" x14ac:dyDescent="0.25">
      <c r="A148" s="33"/>
      <c r="B148" s="34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6"/>
    </row>
    <row r="149" spans="1:18" hidden="1" x14ac:dyDescent="0.25">
      <c r="A149" s="33"/>
      <c r="B149" s="34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6"/>
    </row>
    <row r="150" spans="1:18" hidden="1" x14ac:dyDescent="0.25">
      <c r="A150" s="33"/>
      <c r="B150" s="34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6"/>
    </row>
    <row r="151" spans="1:18" hidden="1" x14ac:dyDescent="0.25">
      <c r="A151" s="33"/>
      <c r="B151" s="34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6"/>
    </row>
    <row r="152" spans="1:18" hidden="1" x14ac:dyDescent="0.25">
      <c r="A152" s="33"/>
      <c r="B152" s="34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6"/>
    </row>
    <row r="153" spans="1:18" hidden="1" x14ac:dyDescent="0.25">
      <c r="A153" s="33"/>
      <c r="B153" s="34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6"/>
    </row>
    <row r="154" spans="1:18" hidden="1" x14ac:dyDescent="0.25">
      <c r="A154" s="33"/>
      <c r="B154" s="34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6"/>
    </row>
    <row r="155" spans="1:18" hidden="1" x14ac:dyDescent="0.25">
      <c r="A155" s="33"/>
      <c r="B155" s="34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6"/>
    </row>
    <row r="156" spans="1:18" hidden="1" x14ac:dyDescent="0.25">
      <c r="A156" s="33"/>
      <c r="B156" s="34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6"/>
    </row>
    <row r="157" spans="1:18" hidden="1" x14ac:dyDescent="0.25">
      <c r="A157" s="33"/>
      <c r="B157" s="34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6"/>
    </row>
    <row r="158" spans="1:18" hidden="1" x14ac:dyDescent="0.25">
      <c r="A158" s="33"/>
      <c r="B158" s="34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6"/>
    </row>
    <row r="159" spans="1:18" hidden="1" x14ac:dyDescent="0.25">
      <c r="A159" s="33"/>
      <c r="B159" s="34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6"/>
    </row>
    <row r="160" spans="1:18" hidden="1" x14ac:dyDescent="0.25">
      <c r="A160" s="33"/>
      <c r="B160" s="34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6"/>
    </row>
    <row r="161" spans="1:18" hidden="1" x14ac:dyDescent="0.25">
      <c r="A161" s="33"/>
      <c r="B161" s="34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6"/>
    </row>
    <row r="162" spans="1:18" hidden="1" x14ac:dyDescent="0.25">
      <c r="A162" s="33"/>
      <c r="B162" s="34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6"/>
    </row>
    <row r="163" spans="1:18" hidden="1" x14ac:dyDescent="0.25">
      <c r="A163" s="33"/>
      <c r="B163" s="34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6"/>
    </row>
    <row r="164" spans="1:18" hidden="1" x14ac:dyDescent="0.25">
      <c r="A164" s="33"/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6"/>
    </row>
    <row r="165" spans="1:18" hidden="1" x14ac:dyDescent="0.25">
      <c r="A165" s="33"/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6"/>
    </row>
    <row r="166" spans="1:18" hidden="1" x14ac:dyDescent="0.25">
      <c r="A166" s="33"/>
      <c r="B166" s="34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6"/>
    </row>
    <row r="167" spans="1:18" hidden="1" x14ac:dyDescent="0.25">
      <c r="A167" s="33"/>
      <c r="B167" s="34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6"/>
    </row>
    <row r="168" spans="1:18" hidden="1" x14ac:dyDescent="0.25">
      <c r="A168" s="33"/>
      <c r="B168" s="34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6"/>
    </row>
    <row r="169" spans="1:18" hidden="1" x14ac:dyDescent="0.25">
      <c r="A169" s="33"/>
      <c r="B169" s="34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6"/>
    </row>
    <row r="170" spans="1:18" hidden="1" x14ac:dyDescent="0.25">
      <c r="A170" s="33"/>
      <c r="B170" s="34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6"/>
    </row>
    <row r="171" spans="1:18" hidden="1" x14ac:dyDescent="0.25">
      <c r="A171" s="33"/>
      <c r="B171" s="34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6"/>
    </row>
    <row r="172" spans="1:18" hidden="1" x14ac:dyDescent="0.25">
      <c r="A172" s="33"/>
      <c r="B172" s="34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6"/>
    </row>
    <row r="173" spans="1:18" hidden="1" x14ac:dyDescent="0.25">
      <c r="A173" s="33"/>
      <c r="B173" s="34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6"/>
    </row>
    <row r="174" spans="1:18" hidden="1" x14ac:dyDescent="0.25">
      <c r="A174" s="33"/>
      <c r="B174" s="34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6"/>
    </row>
    <row r="175" spans="1:18" hidden="1" x14ac:dyDescent="0.25">
      <c r="A175" s="33"/>
      <c r="B175" s="34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6"/>
    </row>
    <row r="176" spans="1:18" hidden="1" x14ac:dyDescent="0.25">
      <c r="A176" s="33"/>
      <c r="B176" s="34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6"/>
    </row>
    <row r="177" spans="1:18" hidden="1" x14ac:dyDescent="0.25">
      <c r="A177" s="33"/>
      <c r="B177" s="34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6"/>
    </row>
    <row r="178" spans="1:18" hidden="1" x14ac:dyDescent="0.25">
      <c r="A178" s="33"/>
      <c r="B178" s="34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6"/>
    </row>
    <row r="179" spans="1:18" hidden="1" x14ac:dyDescent="0.25">
      <c r="A179" s="33"/>
      <c r="B179" s="34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6"/>
    </row>
    <row r="180" spans="1:18" hidden="1" x14ac:dyDescent="0.25">
      <c r="A180" s="33"/>
      <c r="B180" s="34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6"/>
    </row>
    <row r="181" spans="1:18" hidden="1" x14ac:dyDescent="0.25">
      <c r="A181" s="33"/>
      <c r="B181" s="34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6"/>
    </row>
    <row r="182" spans="1:18" hidden="1" x14ac:dyDescent="0.25">
      <c r="A182" s="33"/>
      <c r="B182" s="34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6"/>
    </row>
    <row r="183" spans="1:18" hidden="1" x14ac:dyDescent="0.25">
      <c r="A183" s="33"/>
      <c r="B183" s="34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6"/>
    </row>
    <row r="184" spans="1:18" hidden="1" x14ac:dyDescent="0.25">
      <c r="A184" s="33"/>
      <c r="B184" s="34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6"/>
    </row>
    <row r="185" spans="1:18" hidden="1" x14ac:dyDescent="0.25">
      <c r="A185" s="33"/>
      <c r="B185" s="34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6"/>
    </row>
    <row r="186" spans="1:18" hidden="1" x14ac:dyDescent="0.25">
      <c r="A186" s="33"/>
      <c r="B186" s="34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6"/>
    </row>
    <row r="187" spans="1:18" hidden="1" x14ac:dyDescent="0.25">
      <c r="A187" s="33"/>
      <c r="B187" s="34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6"/>
    </row>
    <row r="188" spans="1:18" hidden="1" x14ac:dyDescent="0.25">
      <c r="A188" s="33"/>
      <c r="B188" s="34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6"/>
    </row>
    <row r="189" spans="1:18" hidden="1" x14ac:dyDescent="0.25">
      <c r="A189" s="33"/>
      <c r="B189" s="34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6"/>
    </row>
    <row r="190" spans="1:18" hidden="1" x14ac:dyDescent="0.25">
      <c r="A190" s="33"/>
      <c r="B190" s="34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6"/>
    </row>
    <row r="191" spans="1:18" hidden="1" x14ac:dyDescent="0.25">
      <c r="A191" s="33"/>
      <c r="B191" s="34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6"/>
    </row>
    <row r="192" spans="1:18" hidden="1" x14ac:dyDescent="0.25">
      <c r="A192" s="33"/>
      <c r="B192" s="34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6"/>
    </row>
    <row r="193" spans="1:18" hidden="1" x14ac:dyDescent="0.25">
      <c r="A193" s="33"/>
      <c r="B193" s="34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6"/>
    </row>
    <row r="194" spans="1:18" hidden="1" x14ac:dyDescent="0.25">
      <c r="A194" s="33"/>
      <c r="B194" s="34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6"/>
    </row>
    <row r="195" spans="1:18" hidden="1" x14ac:dyDescent="0.25">
      <c r="A195" s="33"/>
      <c r="B195" s="34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6"/>
    </row>
    <row r="196" spans="1:18" hidden="1" x14ac:dyDescent="0.25">
      <c r="A196" s="33"/>
      <c r="B196" s="34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6"/>
    </row>
    <row r="197" spans="1:18" hidden="1" x14ac:dyDescent="0.25">
      <c r="A197" s="33"/>
      <c r="B197" s="34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6"/>
    </row>
    <row r="198" spans="1:18" hidden="1" x14ac:dyDescent="0.25">
      <c r="A198" s="33"/>
      <c r="B198" s="34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6"/>
    </row>
    <row r="199" spans="1:18" hidden="1" x14ac:dyDescent="0.25">
      <c r="A199" s="33"/>
      <c r="B199" s="34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6"/>
    </row>
    <row r="200" spans="1:18" hidden="1" x14ac:dyDescent="0.25">
      <c r="A200" s="33"/>
      <c r="B200" s="34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6"/>
    </row>
    <row r="201" spans="1:18" hidden="1" x14ac:dyDescent="0.25">
      <c r="A201" s="33"/>
      <c r="B201" s="34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6"/>
    </row>
    <row r="202" spans="1:18" hidden="1" x14ac:dyDescent="0.25">
      <c r="A202" s="33"/>
      <c r="B202" s="34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6"/>
    </row>
    <row r="203" spans="1:18" hidden="1" x14ac:dyDescent="0.25">
      <c r="A203" s="33"/>
      <c r="B203" s="34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6"/>
    </row>
    <row r="204" spans="1:18" hidden="1" x14ac:dyDescent="0.25">
      <c r="A204" s="33"/>
      <c r="B204" s="34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6"/>
    </row>
    <row r="205" spans="1:18" hidden="1" x14ac:dyDescent="0.25">
      <c r="A205" s="33"/>
      <c r="B205" s="34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6"/>
    </row>
    <row r="206" spans="1:18" hidden="1" x14ac:dyDescent="0.25">
      <c r="A206" s="33"/>
      <c r="B206" s="34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6"/>
    </row>
    <row r="207" spans="1:18" hidden="1" x14ac:dyDescent="0.25">
      <c r="A207" s="33"/>
      <c r="B207" s="34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6"/>
    </row>
    <row r="208" spans="1:18" hidden="1" x14ac:dyDescent="0.25">
      <c r="A208" s="33"/>
      <c r="B208" s="34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6"/>
    </row>
    <row r="209" spans="1:18" hidden="1" x14ac:dyDescent="0.25">
      <c r="A209" s="33"/>
      <c r="B209" s="34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6"/>
    </row>
    <row r="210" spans="1:18" hidden="1" x14ac:dyDescent="0.25">
      <c r="A210" s="33"/>
      <c r="B210" s="34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6"/>
    </row>
    <row r="211" spans="1:18" hidden="1" x14ac:dyDescent="0.25">
      <c r="A211" s="33"/>
      <c r="B211" s="34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6"/>
    </row>
    <row r="212" spans="1:18" hidden="1" x14ac:dyDescent="0.25">
      <c r="A212" s="33"/>
      <c r="B212" s="34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6"/>
    </row>
    <row r="213" spans="1:18" hidden="1" x14ac:dyDescent="0.25">
      <c r="A213" s="33"/>
      <c r="B213" s="34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6"/>
    </row>
    <row r="214" spans="1:18" hidden="1" x14ac:dyDescent="0.25">
      <c r="A214" s="33"/>
      <c r="B214" s="34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6"/>
    </row>
    <row r="215" spans="1:18" hidden="1" x14ac:dyDescent="0.25">
      <c r="A215" s="33"/>
      <c r="B215" s="34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6"/>
    </row>
    <row r="216" spans="1:18" hidden="1" x14ac:dyDescent="0.25">
      <c r="A216" s="33"/>
      <c r="B216" s="34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6"/>
    </row>
    <row r="217" spans="1:18" hidden="1" x14ac:dyDescent="0.25">
      <c r="A217" s="33"/>
      <c r="B217" s="34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6"/>
    </row>
    <row r="218" spans="1:18" hidden="1" x14ac:dyDescent="0.25">
      <c r="A218" s="33"/>
      <c r="B218" s="34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6"/>
    </row>
    <row r="219" spans="1:18" hidden="1" x14ac:dyDescent="0.25">
      <c r="A219" s="33"/>
      <c r="B219" s="34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6"/>
    </row>
    <row r="220" spans="1:18" hidden="1" x14ac:dyDescent="0.25">
      <c r="A220" s="33"/>
      <c r="B220" s="34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6"/>
    </row>
    <row r="221" spans="1:18" hidden="1" x14ac:dyDescent="0.25">
      <c r="A221" s="33"/>
      <c r="B221" s="34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6"/>
    </row>
    <row r="222" spans="1:18" hidden="1" x14ac:dyDescent="0.25">
      <c r="A222" s="33"/>
      <c r="B222" s="34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6"/>
    </row>
    <row r="223" spans="1:18" hidden="1" x14ac:dyDescent="0.25">
      <c r="A223" s="33"/>
      <c r="B223" s="34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6"/>
    </row>
    <row r="224" spans="1:18" hidden="1" x14ac:dyDescent="0.25">
      <c r="A224" s="33"/>
      <c r="B224" s="34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6"/>
    </row>
    <row r="225" spans="1:18" hidden="1" x14ac:dyDescent="0.25">
      <c r="A225" s="33"/>
      <c r="B225" s="34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6"/>
    </row>
    <row r="226" spans="1:18" hidden="1" x14ac:dyDescent="0.25">
      <c r="A226" s="33"/>
      <c r="B226" s="34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6"/>
    </row>
    <row r="227" spans="1:18" hidden="1" x14ac:dyDescent="0.25">
      <c r="A227" s="33"/>
      <c r="B227" s="34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6"/>
    </row>
    <row r="228" spans="1:18" hidden="1" x14ac:dyDescent="0.25">
      <c r="A228" s="33"/>
      <c r="B228" s="34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6"/>
    </row>
    <row r="229" spans="1:18" hidden="1" x14ac:dyDescent="0.25">
      <c r="A229" s="33"/>
      <c r="B229" s="34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6"/>
    </row>
    <row r="230" spans="1:18" hidden="1" x14ac:dyDescent="0.25">
      <c r="A230" s="33"/>
      <c r="B230" s="34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6"/>
    </row>
    <row r="231" spans="1:18" hidden="1" x14ac:dyDescent="0.25">
      <c r="A231" s="33"/>
      <c r="B231" s="34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6"/>
    </row>
    <row r="232" spans="1:18" hidden="1" x14ac:dyDescent="0.25">
      <c r="A232" s="33"/>
      <c r="B232" s="34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6"/>
    </row>
    <row r="233" spans="1:18" hidden="1" x14ac:dyDescent="0.25">
      <c r="A233" s="33"/>
      <c r="B233" s="34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6"/>
    </row>
    <row r="234" spans="1:18" hidden="1" x14ac:dyDescent="0.25">
      <c r="A234" s="33"/>
      <c r="B234" s="34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6"/>
    </row>
    <row r="235" spans="1:18" hidden="1" x14ac:dyDescent="0.25">
      <c r="A235" s="33"/>
      <c r="B235" s="34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6"/>
    </row>
    <row r="236" spans="1:18" hidden="1" x14ac:dyDescent="0.25">
      <c r="A236" s="33"/>
      <c r="B236" s="34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6"/>
    </row>
    <row r="237" spans="1:18" hidden="1" x14ac:dyDescent="0.25">
      <c r="A237" s="33"/>
      <c r="B237" s="34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6"/>
    </row>
    <row r="238" spans="1:18" hidden="1" x14ac:dyDescent="0.25">
      <c r="A238" s="33"/>
      <c r="B238" s="34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6"/>
    </row>
    <row r="239" spans="1:18" hidden="1" x14ac:dyDescent="0.25">
      <c r="A239" s="33"/>
      <c r="B239" s="34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6"/>
    </row>
    <row r="240" spans="1:18" hidden="1" x14ac:dyDescent="0.25">
      <c r="A240" s="33"/>
      <c r="B240" s="34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6"/>
    </row>
    <row r="241" spans="1:18" hidden="1" x14ac:dyDescent="0.25">
      <c r="A241" s="33"/>
      <c r="B241" s="34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6"/>
    </row>
    <row r="242" spans="1:18" hidden="1" x14ac:dyDescent="0.25">
      <c r="A242" s="33"/>
      <c r="B242" s="34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6"/>
    </row>
    <row r="243" spans="1:18" hidden="1" x14ac:dyDescent="0.25">
      <c r="A243" s="33"/>
      <c r="B243" s="34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6"/>
    </row>
    <row r="244" spans="1:18" hidden="1" x14ac:dyDescent="0.25">
      <c r="A244" s="33"/>
      <c r="B244" s="34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6"/>
    </row>
    <row r="245" spans="1:18" hidden="1" x14ac:dyDescent="0.25">
      <c r="A245" s="33"/>
      <c r="B245" s="34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6"/>
    </row>
    <row r="246" spans="1:18" hidden="1" x14ac:dyDescent="0.25">
      <c r="A246" s="33"/>
      <c r="B246" s="34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6"/>
    </row>
    <row r="247" spans="1:18" hidden="1" x14ac:dyDescent="0.25">
      <c r="A247" s="33"/>
      <c r="B247" s="34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6"/>
    </row>
    <row r="248" spans="1:18" hidden="1" x14ac:dyDescent="0.25">
      <c r="A248" s="33"/>
      <c r="B248" s="34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6"/>
    </row>
    <row r="249" spans="1:18" hidden="1" x14ac:dyDescent="0.25">
      <c r="A249" s="33"/>
      <c r="B249" s="34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6"/>
    </row>
    <row r="250" spans="1:18" hidden="1" x14ac:dyDescent="0.25">
      <c r="A250" s="33"/>
      <c r="B250" s="34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6"/>
    </row>
    <row r="251" spans="1:18" hidden="1" x14ac:dyDescent="0.25">
      <c r="A251" s="33"/>
      <c r="B251" s="34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6"/>
    </row>
    <row r="252" spans="1:18" hidden="1" x14ac:dyDescent="0.25">
      <c r="A252" s="33"/>
      <c r="B252" s="34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6"/>
    </row>
    <row r="253" spans="1:18" hidden="1" x14ac:dyDescent="0.25">
      <c r="A253" s="33"/>
      <c r="B253" s="34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6"/>
    </row>
    <row r="254" spans="1:18" hidden="1" x14ac:dyDescent="0.25">
      <c r="A254" s="33"/>
      <c r="B254" s="34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6"/>
    </row>
    <row r="255" spans="1:18" hidden="1" x14ac:dyDescent="0.25">
      <c r="A255" s="33"/>
      <c r="B255" s="34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6"/>
    </row>
    <row r="256" spans="1:18" hidden="1" x14ac:dyDescent="0.25">
      <c r="A256" s="33"/>
      <c r="B256" s="34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6"/>
    </row>
    <row r="257" spans="1:18" hidden="1" x14ac:dyDescent="0.25">
      <c r="A257" s="33"/>
      <c r="B257" s="34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6"/>
    </row>
    <row r="258" spans="1:18" hidden="1" x14ac:dyDescent="0.25">
      <c r="A258" s="33"/>
      <c r="B258" s="34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6"/>
    </row>
    <row r="259" spans="1:18" hidden="1" x14ac:dyDescent="0.25">
      <c r="A259" s="33"/>
      <c r="B259" s="34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6"/>
    </row>
    <row r="260" spans="1:18" hidden="1" x14ac:dyDescent="0.25">
      <c r="A260" s="33"/>
      <c r="B260" s="34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6"/>
    </row>
    <row r="261" spans="1:18" hidden="1" x14ac:dyDescent="0.25">
      <c r="A261" s="33"/>
      <c r="B261" s="34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6"/>
    </row>
    <row r="262" spans="1:18" hidden="1" x14ac:dyDescent="0.25">
      <c r="A262" s="33"/>
      <c r="B262" s="34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6"/>
    </row>
    <row r="263" spans="1:18" hidden="1" x14ac:dyDescent="0.25">
      <c r="A263" s="33"/>
      <c r="B263" s="34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6"/>
    </row>
    <row r="264" spans="1:18" hidden="1" x14ac:dyDescent="0.25">
      <c r="A264" s="33"/>
      <c r="B264" s="34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6"/>
    </row>
    <row r="265" spans="1:18" hidden="1" x14ac:dyDescent="0.25">
      <c r="A265" s="33"/>
      <c r="B265" s="34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6"/>
    </row>
    <row r="266" spans="1:18" hidden="1" x14ac:dyDescent="0.25">
      <c r="A266" s="33"/>
      <c r="B266" s="34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6"/>
    </row>
    <row r="267" spans="1:18" hidden="1" x14ac:dyDescent="0.25">
      <c r="A267" s="33"/>
      <c r="B267" s="34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6"/>
    </row>
    <row r="268" spans="1:18" hidden="1" x14ac:dyDescent="0.25">
      <c r="A268" s="33"/>
      <c r="B268" s="34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6"/>
    </row>
    <row r="269" spans="1:18" hidden="1" x14ac:dyDescent="0.25">
      <c r="A269" s="33"/>
      <c r="B269" s="34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6"/>
    </row>
    <row r="270" spans="1:18" hidden="1" x14ac:dyDescent="0.25">
      <c r="A270" s="33"/>
      <c r="B270" s="34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6"/>
    </row>
    <row r="271" spans="1:18" hidden="1" x14ac:dyDescent="0.25">
      <c r="A271" s="33"/>
      <c r="B271" s="34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6"/>
    </row>
    <row r="272" spans="1:18" hidden="1" x14ac:dyDescent="0.25">
      <c r="A272" s="33"/>
      <c r="B272" s="34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6"/>
    </row>
    <row r="273" spans="1:18" hidden="1" x14ac:dyDescent="0.25">
      <c r="A273" s="33"/>
      <c r="B273" s="34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6"/>
    </row>
    <row r="274" spans="1:18" hidden="1" x14ac:dyDescent="0.25">
      <c r="A274" s="33"/>
      <c r="B274" s="34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6"/>
    </row>
    <row r="275" spans="1:18" hidden="1" x14ac:dyDescent="0.25">
      <c r="A275" s="33"/>
      <c r="B275" s="34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6"/>
    </row>
    <row r="276" spans="1:18" hidden="1" x14ac:dyDescent="0.25">
      <c r="A276" s="33"/>
      <c r="B276" s="34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6"/>
    </row>
    <row r="277" spans="1:18" hidden="1" x14ac:dyDescent="0.25">
      <c r="A277" s="33"/>
      <c r="B277" s="34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6"/>
    </row>
    <row r="278" spans="1:18" hidden="1" x14ac:dyDescent="0.25">
      <c r="A278" s="33"/>
      <c r="B278" s="34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6"/>
    </row>
    <row r="279" spans="1:18" hidden="1" x14ac:dyDescent="0.25">
      <c r="A279" s="33"/>
      <c r="B279" s="34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6"/>
    </row>
    <row r="280" spans="1:18" hidden="1" x14ac:dyDescent="0.25">
      <c r="A280" s="33"/>
      <c r="B280" s="34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6"/>
    </row>
    <row r="281" spans="1:18" hidden="1" x14ac:dyDescent="0.25">
      <c r="A281" s="33"/>
      <c r="B281" s="34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6"/>
    </row>
    <row r="282" spans="1:18" hidden="1" x14ac:dyDescent="0.25">
      <c r="A282" s="33"/>
      <c r="B282" s="34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6"/>
    </row>
    <row r="283" spans="1:18" hidden="1" x14ac:dyDescent="0.25">
      <c r="A283" s="33"/>
      <c r="B283" s="34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6"/>
    </row>
    <row r="284" spans="1:18" hidden="1" x14ac:dyDescent="0.25">
      <c r="A284" s="33"/>
      <c r="B284" s="34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6"/>
    </row>
    <row r="285" spans="1:18" hidden="1" x14ac:dyDescent="0.25">
      <c r="A285" s="33"/>
      <c r="B285" s="34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6"/>
    </row>
    <row r="286" spans="1:18" hidden="1" x14ac:dyDescent="0.25">
      <c r="A286" s="33"/>
      <c r="B286" s="34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6"/>
    </row>
    <row r="287" spans="1:18" hidden="1" x14ac:dyDescent="0.25">
      <c r="A287" s="33"/>
      <c r="B287" s="34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6"/>
    </row>
    <row r="288" spans="1:18" hidden="1" x14ac:dyDescent="0.25">
      <c r="A288" s="33"/>
      <c r="B288" s="34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6"/>
    </row>
    <row r="289" spans="1:18" hidden="1" x14ac:dyDescent="0.25">
      <c r="A289" s="33"/>
      <c r="B289" s="34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6"/>
    </row>
    <row r="290" spans="1:18" hidden="1" x14ac:dyDescent="0.25">
      <c r="A290" s="33"/>
      <c r="B290" s="34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6"/>
    </row>
    <row r="291" spans="1:18" hidden="1" x14ac:dyDescent="0.25">
      <c r="A291" s="33"/>
      <c r="B291" s="34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6"/>
    </row>
    <row r="292" spans="1:18" hidden="1" x14ac:dyDescent="0.25">
      <c r="A292" s="33"/>
      <c r="B292" s="34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6"/>
    </row>
    <row r="293" spans="1:18" hidden="1" x14ac:dyDescent="0.25">
      <c r="A293" s="33"/>
      <c r="B293" s="34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6"/>
    </row>
    <row r="294" spans="1:18" hidden="1" x14ac:dyDescent="0.25">
      <c r="A294" s="33"/>
      <c r="B294" s="34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6"/>
    </row>
    <row r="295" spans="1:18" hidden="1" x14ac:dyDescent="0.25">
      <c r="A295" s="33"/>
      <c r="B295" s="34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6"/>
    </row>
    <row r="296" spans="1:18" hidden="1" x14ac:dyDescent="0.25">
      <c r="A296" s="33"/>
      <c r="B296" s="34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6"/>
    </row>
    <row r="297" spans="1:18" hidden="1" x14ac:dyDescent="0.25">
      <c r="A297" s="33"/>
      <c r="B297" s="34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6"/>
    </row>
    <row r="298" spans="1:18" hidden="1" x14ac:dyDescent="0.25">
      <c r="A298" s="33"/>
      <c r="B298" s="34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6"/>
    </row>
    <row r="299" spans="1:18" hidden="1" x14ac:dyDescent="0.25">
      <c r="A299" s="33"/>
      <c r="B299" s="34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6"/>
    </row>
    <row r="300" spans="1:18" hidden="1" x14ac:dyDescent="0.25">
      <c r="A300" s="33"/>
      <c r="B300" s="34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6"/>
    </row>
    <row r="301" spans="1:18" hidden="1" x14ac:dyDescent="0.25">
      <c r="A301" s="33"/>
      <c r="B301" s="34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6"/>
    </row>
    <row r="302" spans="1:18" hidden="1" x14ac:dyDescent="0.25">
      <c r="A302" s="33"/>
      <c r="B302" s="34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6"/>
    </row>
    <row r="303" spans="1:18" hidden="1" x14ac:dyDescent="0.25">
      <c r="A303" s="33"/>
      <c r="B303" s="34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6"/>
    </row>
    <row r="304" spans="1:18" hidden="1" x14ac:dyDescent="0.25">
      <c r="A304" s="33"/>
      <c r="B304" s="34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6"/>
    </row>
    <row r="305" spans="1:18" hidden="1" x14ac:dyDescent="0.25">
      <c r="A305" s="33"/>
      <c r="B305" s="34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6"/>
    </row>
    <row r="306" spans="1:18" hidden="1" x14ac:dyDescent="0.25">
      <c r="A306" s="33"/>
      <c r="B306" s="34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6"/>
    </row>
    <row r="307" spans="1:18" hidden="1" x14ac:dyDescent="0.25">
      <c r="A307" s="33"/>
      <c r="B307" s="34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6"/>
    </row>
    <row r="308" spans="1:18" hidden="1" x14ac:dyDescent="0.25">
      <c r="A308" s="33"/>
      <c r="B308" s="34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6"/>
    </row>
    <row r="309" spans="1:18" hidden="1" x14ac:dyDescent="0.25">
      <c r="A309" s="33"/>
      <c r="B309" s="34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6"/>
    </row>
    <row r="310" spans="1:18" hidden="1" x14ac:dyDescent="0.25">
      <c r="A310" s="33"/>
      <c r="B310" s="34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6"/>
    </row>
    <row r="311" spans="1:18" hidden="1" x14ac:dyDescent="0.25">
      <c r="A311" s="33"/>
      <c r="B311" s="34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6"/>
    </row>
    <row r="312" spans="1:18" hidden="1" x14ac:dyDescent="0.25">
      <c r="A312" s="33"/>
      <c r="B312" s="34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6"/>
    </row>
    <row r="313" spans="1:18" hidden="1" x14ac:dyDescent="0.25">
      <c r="A313" s="33"/>
      <c r="B313" s="34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6"/>
    </row>
    <row r="314" spans="1:18" hidden="1" x14ac:dyDescent="0.25">
      <c r="A314" s="33"/>
      <c r="B314" s="34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6"/>
    </row>
    <row r="315" spans="1:18" hidden="1" x14ac:dyDescent="0.25">
      <c r="A315" s="33"/>
      <c r="B315" s="34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6"/>
    </row>
    <row r="316" spans="1:18" hidden="1" x14ac:dyDescent="0.25">
      <c r="A316" s="33"/>
      <c r="B316" s="34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6"/>
    </row>
    <row r="317" spans="1:18" hidden="1" x14ac:dyDescent="0.25">
      <c r="A317" s="33"/>
      <c r="B317" s="34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6"/>
    </row>
    <row r="318" spans="1:18" hidden="1" x14ac:dyDescent="0.25">
      <c r="A318" s="33"/>
      <c r="B318" s="34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6"/>
    </row>
    <row r="319" spans="1:18" hidden="1" x14ac:dyDescent="0.25">
      <c r="A319" s="33"/>
      <c r="B319" s="34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6"/>
    </row>
    <row r="320" spans="1:18" hidden="1" x14ac:dyDescent="0.25">
      <c r="A320" s="33"/>
      <c r="B320" s="34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6"/>
    </row>
    <row r="321" spans="1:18" hidden="1" x14ac:dyDescent="0.25">
      <c r="A321" s="33"/>
      <c r="B321" s="34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6"/>
    </row>
    <row r="322" spans="1:18" hidden="1" x14ac:dyDescent="0.25">
      <c r="A322" s="33"/>
      <c r="B322" s="34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6"/>
    </row>
    <row r="323" spans="1:18" hidden="1" x14ac:dyDescent="0.25">
      <c r="A323" s="33"/>
      <c r="B323" s="34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6"/>
    </row>
    <row r="324" spans="1:18" hidden="1" x14ac:dyDescent="0.25">
      <c r="A324" s="33"/>
      <c r="B324" s="34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6"/>
    </row>
    <row r="325" spans="1:18" hidden="1" x14ac:dyDescent="0.25">
      <c r="A325" s="33"/>
      <c r="B325" s="34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6"/>
    </row>
    <row r="326" spans="1:18" hidden="1" x14ac:dyDescent="0.25">
      <c r="A326" s="33"/>
      <c r="B326" s="34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6"/>
    </row>
    <row r="327" spans="1:18" hidden="1" x14ac:dyDescent="0.25">
      <c r="A327" s="33"/>
      <c r="B327" s="34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6"/>
    </row>
    <row r="328" spans="1:18" hidden="1" x14ac:dyDescent="0.25">
      <c r="A328" s="33"/>
      <c r="B328" s="34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6"/>
    </row>
    <row r="329" spans="1:18" hidden="1" x14ac:dyDescent="0.25">
      <c r="A329" s="33"/>
      <c r="B329" s="34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6"/>
    </row>
    <row r="330" spans="1:18" hidden="1" x14ac:dyDescent="0.25">
      <c r="A330" s="33"/>
      <c r="B330" s="34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6"/>
    </row>
    <row r="331" spans="1:18" hidden="1" x14ac:dyDescent="0.25">
      <c r="A331" s="33"/>
      <c r="B331" s="34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6"/>
    </row>
    <row r="332" spans="1:18" hidden="1" x14ac:dyDescent="0.25">
      <c r="A332" s="33"/>
      <c r="B332" s="34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6"/>
    </row>
    <row r="333" spans="1:18" hidden="1" x14ac:dyDescent="0.25">
      <c r="A333" s="33"/>
      <c r="B333" s="34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6"/>
    </row>
    <row r="334" spans="1:18" hidden="1" x14ac:dyDescent="0.25">
      <c r="A334" s="33"/>
      <c r="B334" s="34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6"/>
    </row>
    <row r="335" spans="1:18" hidden="1" x14ac:dyDescent="0.25">
      <c r="A335" s="33"/>
      <c r="B335" s="34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6"/>
    </row>
    <row r="336" spans="1:18" hidden="1" x14ac:dyDescent="0.25">
      <c r="A336" s="33"/>
      <c r="B336" s="34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6"/>
    </row>
    <row r="337" spans="1:18" hidden="1" x14ac:dyDescent="0.25">
      <c r="A337" s="33"/>
      <c r="B337" s="34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6"/>
    </row>
    <row r="338" spans="1:18" hidden="1" x14ac:dyDescent="0.25">
      <c r="A338" s="33"/>
      <c r="B338" s="34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6"/>
    </row>
    <row r="339" spans="1:18" hidden="1" x14ac:dyDescent="0.25">
      <c r="A339" s="33"/>
      <c r="B339" s="34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6"/>
    </row>
    <row r="340" spans="1:18" hidden="1" x14ac:dyDescent="0.25">
      <c r="A340" s="33"/>
      <c r="B340" s="34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6"/>
    </row>
    <row r="341" spans="1:18" hidden="1" x14ac:dyDescent="0.25">
      <c r="A341" s="33"/>
      <c r="B341" s="34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6"/>
    </row>
    <row r="342" spans="1:18" hidden="1" x14ac:dyDescent="0.25">
      <c r="A342" s="33"/>
      <c r="B342" s="34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6"/>
    </row>
    <row r="343" spans="1:18" hidden="1" x14ac:dyDescent="0.25">
      <c r="A343" s="33"/>
      <c r="B343" s="34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6"/>
    </row>
    <row r="344" spans="1:18" hidden="1" x14ac:dyDescent="0.25">
      <c r="A344" s="33"/>
      <c r="B344" s="34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6"/>
    </row>
    <row r="345" spans="1:18" hidden="1" x14ac:dyDescent="0.25">
      <c r="A345" s="33"/>
      <c r="B345" s="34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6"/>
    </row>
    <row r="346" spans="1:18" hidden="1" x14ac:dyDescent="0.25">
      <c r="A346" s="33"/>
      <c r="B346" s="34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6"/>
    </row>
    <row r="347" spans="1:18" hidden="1" x14ac:dyDescent="0.25">
      <c r="A347" s="33"/>
      <c r="B347" s="34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6"/>
    </row>
    <row r="348" spans="1:18" hidden="1" x14ac:dyDescent="0.25">
      <c r="A348" s="33"/>
      <c r="B348" s="34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6"/>
    </row>
    <row r="349" spans="1:18" hidden="1" x14ac:dyDescent="0.25">
      <c r="A349" s="33"/>
      <c r="B349" s="34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6"/>
    </row>
    <row r="350" spans="1:18" hidden="1" x14ac:dyDescent="0.25">
      <c r="A350" s="33"/>
      <c r="B350" s="34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6"/>
    </row>
    <row r="351" spans="1:18" hidden="1" x14ac:dyDescent="0.25">
      <c r="A351" s="33"/>
      <c r="B351" s="34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6"/>
    </row>
    <row r="352" spans="1:18" hidden="1" x14ac:dyDescent="0.25">
      <c r="A352" s="33"/>
      <c r="B352" s="34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6"/>
    </row>
    <row r="353" spans="1:18" hidden="1" x14ac:dyDescent="0.25">
      <c r="A353" s="33"/>
      <c r="B353" s="34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6"/>
    </row>
    <row r="354" spans="1:18" hidden="1" x14ac:dyDescent="0.25">
      <c r="A354" s="33"/>
      <c r="B354" s="34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6"/>
    </row>
    <row r="355" spans="1:18" hidden="1" x14ac:dyDescent="0.25">
      <c r="A355" s="33"/>
      <c r="B355" s="34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6"/>
    </row>
    <row r="356" spans="1:18" hidden="1" x14ac:dyDescent="0.25">
      <c r="A356" s="33"/>
      <c r="B356" s="34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6"/>
    </row>
    <row r="357" spans="1:18" hidden="1" x14ac:dyDescent="0.25">
      <c r="A357" s="33"/>
      <c r="B357" s="34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6"/>
    </row>
    <row r="358" spans="1:18" hidden="1" x14ac:dyDescent="0.25">
      <c r="A358" s="33"/>
      <c r="B358" s="34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6"/>
    </row>
    <row r="359" spans="1:18" hidden="1" x14ac:dyDescent="0.25">
      <c r="A359" s="33"/>
      <c r="B359" s="34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6"/>
    </row>
    <row r="360" spans="1:18" hidden="1" x14ac:dyDescent="0.25">
      <c r="A360" s="33"/>
      <c r="B360" s="34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6"/>
    </row>
    <row r="361" spans="1:18" hidden="1" x14ac:dyDescent="0.25">
      <c r="A361" s="33"/>
      <c r="B361" s="34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6"/>
    </row>
    <row r="362" spans="1:18" hidden="1" x14ac:dyDescent="0.25">
      <c r="A362" s="33"/>
      <c r="B362" s="34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6"/>
    </row>
    <row r="363" spans="1:18" hidden="1" x14ac:dyDescent="0.25">
      <c r="A363" s="33"/>
      <c r="B363" s="34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6"/>
    </row>
    <row r="364" spans="1:18" hidden="1" x14ac:dyDescent="0.25">
      <c r="A364" s="33"/>
      <c r="B364" s="34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6"/>
    </row>
    <row r="365" spans="1:18" hidden="1" x14ac:dyDescent="0.25">
      <c r="A365" s="33"/>
      <c r="B365" s="34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6"/>
    </row>
    <row r="366" spans="1:18" hidden="1" x14ac:dyDescent="0.25">
      <c r="A366" s="33"/>
      <c r="B366" s="34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6"/>
    </row>
    <row r="367" spans="1:18" hidden="1" x14ac:dyDescent="0.25">
      <c r="A367" s="33"/>
      <c r="B367" s="34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6"/>
    </row>
    <row r="368" spans="1:18" hidden="1" x14ac:dyDescent="0.25">
      <c r="A368" s="33"/>
      <c r="B368" s="34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6"/>
    </row>
    <row r="369" spans="1:18" hidden="1" x14ac:dyDescent="0.25">
      <c r="A369" s="33"/>
      <c r="B369" s="34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6"/>
    </row>
    <row r="370" spans="1:18" hidden="1" x14ac:dyDescent="0.25">
      <c r="A370" s="33"/>
      <c r="B370" s="34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6"/>
    </row>
    <row r="371" spans="1:18" hidden="1" x14ac:dyDescent="0.25">
      <c r="A371" s="33"/>
      <c r="B371" s="34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6"/>
    </row>
    <row r="372" spans="1:18" hidden="1" x14ac:dyDescent="0.25">
      <c r="A372" s="33"/>
      <c r="B372" s="34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6"/>
    </row>
    <row r="373" spans="1:18" hidden="1" x14ac:dyDescent="0.25">
      <c r="A373" s="33"/>
      <c r="B373" s="34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6"/>
    </row>
    <row r="374" spans="1:18" hidden="1" x14ac:dyDescent="0.25">
      <c r="A374" s="33"/>
      <c r="B374" s="34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6"/>
    </row>
    <row r="375" spans="1:18" hidden="1" x14ac:dyDescent="0.25">
      <c r="A375" s="33"/>
      <c r="B375" s="34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6"/>
    </row>
    <row r="376" spans="1:18" hidden="1" x14ac:dyDescent="0.25">
      <c r="A376" s="33"/>
      <c r="B376" s="34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6"/>
    </row>
    <row r="377" spans="1:18" hidden="1" x14ac:dyDescent="0.25">
      <c r="A377" s="33"/>
      <c r="B377" s="34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6"/>
    </row>
    <row r="378" spans="1:18" hidden="1" x14ac:dyDescent="0.25">
      <c r="A378" s="33"/>
      <c r="B378" s="34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6"/>
    </row>
    <row r="379" spans="1:18" hidden="1" x14ac:dyDescent="0.25">
      <c r="A379" s="33"/>
      <c r="B379" s="34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6"/>
    </row>
    <row r="380" spans="1:18" hidden="1" x14ac:dyDescent="0.25">
      <c r="A380" s="33"/>
      <c r="B380" s="34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6"/>
    </row>
    <row r="381" spans="1:18" hidden="1" x14ac:dyDescent="0.25">
      <c r="A381" s="33"/>
      <c r="B381" s="34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6"/>
    </row>
    <row r="382" spans="1:18" hidden="1" x14ac:dyDescent="0.25">
      <c r="A382" s="33"/>
      <c r="B382" s="34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6"/>
    </row>
    <row r="383" spans="1:18" hidden="1" x14ac:dyDescent="0.25">
      <c r="A383" s="33"/>
      <c r="B383" s="34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6"/>
    </row>
    <row r="384" spans="1:18" hidden="1" x14ac:dyDescent="0.25">
      <c r="A384" s="33"/>
      <c r="B384" s="34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6"/>
    </row>
    <row r="385" spans="1:18" hidden="1" x14ac:dyDescent="0.25">
      <c r="A385" s="33"/>
      <c r="B385" s="34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6"/>
    </row>
    <row r="386" spans="1:18" hidden="1" x14ac:dyDescent="0.25">
      <c r="A386" s="33"/>
      <c r="B386" s="34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6"/>
    </row>
    <row r="387" spans="1:18" hidden="1" x14ac:dyDescent="0.25">
      <c r="A387" s="33"/>
      <c r="B387" s="34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6"/>
    </row>
    <row r="388" spans="1:18" hidden="1" x14ac:dyDescent="0.25">
      <c r="A388" s="33"/>
      <c r="B388" s="34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6"/>
    </row>
    <row r="389" spans="1:18" hidden="1" x14ac:dyDescent="0.25">
      <c r="A389" s="33"/>
      <c r="B389" s="34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6"/>
    </row>
    <row r="390" spans="1:18" hidden="1" x14ac:dyDescent="0.25">
      <c r="A390" s="33"/>
      <c r="B390" s="34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6"/>
    </row>
    <row r="391" spans="1:18" hidden="1" x14ac:dyDescent="0.25">
      <c r="A391" s="33"/>
      <c r="B391" s="34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6"/>
    </row>
    <row r="392" spans="1:18" hidden="1" x14ac:dyDescent="0.25">
      <c r="A392" s="33"/>
      <c r="B392" s="34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6"/>
    </row>
    <row r="393" spans="1:18" hidden="1" x14ac:dyDescent="0.25">
      <c r="A393" s="33"/>
      <c r="B393" s="34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6"/>
    </row>
    <row r="394" spans="1:18" hidden="1" x14ac:dyDescent="0.25">
      <c r="A394" s="33"/>
      <c r="B394" s="34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6"/>
    </row>
    <row r="395" spans="1:18" hidden="1" x14ac:dyDescent="0.25">
      <c r="A395" s="33"/>
      <c r="B395" s="34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6"/>
    </row>
    <row r="396" spans="1:18" hidden="1" x14ac:dyDescent="0.25">
      <c r="A396" s="33"/>
      <c r="B396" s="34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6"/>
    </row>
    <row r="397" spans="1:18" hidden="1" x14ac:dyDescent="0.25">
      <c r="A397" s="33"/>
      <c r="B397" s="34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6"/>
    </row>
    <row r="398" spans="1:18" hidden="1" x14ac:dyDescent="0.25">
      <c r="A398" s="33"/>
      <c r="B398" s="34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6"/>
    </row>
    <row r="399" spans="1:18" hidden="1" x14ac:dyDescent="0.25">
      <c r="A399" s="33"/>
      <c r="B399" s="34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6"/>
    </row>
    <row r="400" spans="1:18" x14ac:dyDescent="0.25">
      <c r="A400" s="33"/>
      <c r="B400" s="34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6"/>
    </row>
    <row r="401" spans="1:18" x14ac:dyDescent="0.25">
      <c r="A401" s="33"/>
      <c r="B401" s="34" t="s">
        <v>1120</v>
      </c>
      <c r="C401" s="35" t="s">
        <v>1130</v>
      </c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6"/>
    </row>
    <row r="402" spans="1:18" x14ac:dyDescent="0.25">
      <c r="A402" s="33"/>
      <c r="B402" s="34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6"/>
    </row>
    <row r="403" spans="1:18" x14ac:dyDescent="0.25">
      <c r="A403" s="33"/>
      <c r="B403" s="34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6"/>
    </row>
    <row r="404" spans="1:18" x14ac:dyDescent="0.25">
      <c r="A404" s="33"/>
      <c r="B404" s="34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6"/>
    </row>
    <row r="405" spans="1:18" x14ac:dyDescent="0.25">
      <c r="A405" s="33"/>
      <c r="B405" s="34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6"/>
    </row>
    <row r="406" spans="1:18" x14ac:dyDescent="0.25">
      <c r="A406" s="33"/>
      <c r="B406" s="34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6"/>
    </row>
    <row r="407" spans="1:18" x14ac:dyDescent="0.25">
      <c r="A407" s="33"/>
      <c r="B407" s="34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6"/>
    </row>
    <row r="408" spans="1:18" x14ac:dyDescent="0.25">
      <c r="A408" s="33"/>
      <c r="B408" s="34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6"/>
    </row>
    <row r="409" spans="1:18" x14ac:dyDescent="0.25">
      <c r="A409" s="33"/>
      <c r="B409" s="34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6"/>
    </row>
    <row r="410" spans="1:18" x14ac:dyDescent="0.25">
      <c r="A410" s="33"/>
      <c r="B410" s="34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6"/>
    </row>
    <row r="411" spans="1:18" x14ac:dyDescent="0.25">
      <c r="A411" s="33"/>
      <c r="B411" s="34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6"/>
    </row>
    <row r="412" spans="1:18" x14ac:dyDescent="0.25">
      <c r="A412" s="33"/>
      <c r="B412" s="34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6"/>
    </row>
    <row r="413" spans="1:18" x14ac:dyDescent="0.25">
      <c r="A413" s="33"/>
      <c r="B413" s="34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6"/>
    </row>
    <row r="414" spans="1:18" x14ac:dyDescent="0.25">
      <c r="A414" s="33"/>
      <c r="B414" s="34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6"/>
    </row>
    <row r="415" spans="1:18" x14ac:dyDescent="0.25">
      <c r="A415" s="33"/>
      <c r="B415" s="34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6"/>
    </row>
    <row r="416" spans="1:18" x14ac:dyDescent="0.25">
      <c r="A416" s="33"/>
      <c r="B416" s="34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6"/>
    </row>
    <row r="417" spans="1:18" x14ac:dyDescent="0.25">
      <c r="A417" s="33"/>
      <c r="B417" s="34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6"/>
    </row>
    <row r="418" spans="1:18" x14ac:dyDescent="0.25">
      <c r="A418" s="33"/>
      <c r="B418" s="34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6"/>
    </row>
    <row r="419" spans="1:18" x14ac:dyDescent="0.25">
      <c r="A419" s="33"/>
      <c r="B419" s="34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6"/>
    </row>
    <row r="420" spans="1:18" x14ac:dyDescent="0.25">
      <c r="A420" s="33"/>
      <c r="B420" s="34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6"/>
    </row>
    <row r="421" spans="1:18" x14ac:dyDescent="0.25">
      <c r="A421" s="33"/>
      <c r="B421" s="34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6"/>
    </row>
    <row r="422" spans="1:18" x14ac:dyDescent="0.25">
      <c r="A422" s="33"/>
      <c r="B422" s="34" t="s">
        <v>1122</v>
      </c>
      <c r="C422" s="35" t="s">
        <v>1131</v>
      </c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6"/>
    </row>
    <row r="423" spans="1:18" x14ac:dyDescent="0.25">
      <c r="A423" s="33"/>
      <c r="B423" s="34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6"/>
    </row>
    <row r="424" spans="1:18" x14ac:dyDescent="0.25">
      <c r="A424" s="33"/>
      <c r="B424" s="34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6"/>
    </row>
    <row r="425" spans="1:18" x14ac:dyDescent="0.25">
      <c r="A425" s="33"/>
      <c r="B425" s="34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6"/>
    </row>
    <row r="426" spans="1:18" x14ac:dyDescent="0.25">
      <c r="A426" s="33"/>
      <c r="B426" s="34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6"/>
    </row>
    <row r="427" spans="1:18" x14ac:dyDescent="0.25">
      <c r="A427" s="33"/>
      <c r="B427" s="34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6"/>
    </row>
    <row r="428" spans="1:18" x14ac:dyDescent="0.25">
      <c r="A428" s="33"/>
      <c r="B428" s="34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6"/>
    </row>
    <row r="429" spans="1:18" x14ac:dyDescent="0.25">
      <c r="A429" s="33"/>
      <c r="B429" s="34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6"/>
    </row>
    <row r="430" spans="1:18" x14ac:dyDescent="0.25">
      <c r="A430" s="33"/>
      <c r="B430" s="34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6"/>
    </row>
    <row r="431" spans="1:18" x14ac:dyDescent="0.25">
      <c r="A431" s="33"/>
      <c r="B431" s="34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6"/>
    </row>
    <row r="432" spans="1:18" x14ac:dyDescent="0.25">
      <c r="A432" s="33"/>
      <c r="B432" s="34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6"/>
    </row>
    <row r="433" spans="1:18" x14ac:dyDescent="0.25">
      <c r="A433" s="33"/>
      <c r="B433" s="34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6"/>
    </row>
    <row r="434" spans="1:18" x14ac:dyDescent="0.25">
      <c r="A434" s="33"/>
      <c r="B434" s="34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6"/>
    </row>
    <row r="435" spans="1:18" x14ac:dyDescent="0.25">
      <c r="A435" s="33"/>
      <c r="B435" s="34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6"/>
    </row>
    <row r="436" spans="1:18" x14ac:dyDescent="0.25">
      <c r="A436" s="33"/>
      <c r="B436" s="34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6"/>
    </row>
    <row r="437" spans="1:18" x14ac:dyDescent="0.25">
      <c r="A437" s="33"/>
      <c r="B437" s="34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6"/>
    </row>
    <row r="438" spans="1:18" x14ac:dyDescent="0.25">
      <c r="A438" s="33"/>
      <c r="B438" s="34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6"/>
    </row>
    <row r="439" spans="1:18" x14ac:dyDescent="0.25">
      <c r="A439" s="33"/>
      <c r="B439" s="34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6"/>
    </row>
    <row r="440" spans="1:18" x14ac:dyDescent="0.25">
      <c r="A440" s="33"/>
      <c r="B440" s="34" t="s">
        <v>1123</v>
      </c>
      <c r="C440" s="35" t="s">
        <v>1132</v>
      </c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6"/>
    </row>
    <row r="441" spans="1:18" x14ac:dyDescent="0.25">
      <c r="A441" s="33"/>
      <c r="B441" s="34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6"/>
    </row>
    <row r="442" spans="1:18" x14ac:dyDescent="0.25">
      <c r="A442" s="33"/>
      <c r="B442" s="34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6"/>
    </row>
    <row r="443" spans="1:18" x14ac:dyDescent="0.25">
      <c r="A443" s="33"/>
      <c r="B443" s="34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6"/>
    </row>
    <row r="444" spans="1:18" x14ac:dyDescent="0.25">
      <c r="A444" s="33"/>
      <c r="B444" s="34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6"/>
    </row>
    <row r="445" spans="1:18" x14ac:dyDescent="0.25">
      <c r="A445" s="33"/>
      <c r="B445" s="34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6"/>
    </row>
    <row r="446" spans="1:18" x14ac:dyDescent="0.25">
      <c r="A446" s="33"/>
      <c r="B446" s="34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6"/>
    </row>
    <row r="447" spans="1:18" x14ac:dyDescent="0.25">
      <c r="A447" s="33"/>
      <c r="B447" s="34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6"/>
    </row>
    <row r="448" spans="1:18" x14ac:dyDescent="0.25">
      <c r="A448" s="33"/>
      <c r="B448" s="34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6"/>
    </row>
    <row r="449" spans="1:18" x14ac:dyDescent="0.25">
      <c r="A449" s="33"/>
      <c r="B449" s="34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6"/>
    </row>
    <row r="450" spans="1:18" x14ac:dyDescent="0.25">
      <c r="A450" s="33"/>
      <c r="B450" s="34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6"/>
    </row>
    <row r="451" spans="1:18" x14ac:dyDescent="0.25">
      <c r="A451" s="33"/>
      <c r="B451" s="34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6"/>
    </row>
    <row r="452" spans="1:18" x14ac:dyDescent="0.25">
      <c r="A452" s="33"/>
      <c r="B452" s="34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6"/>
    </row>
    <row r="453" spans="1:18" x14ac:dyDescent="0.25">
      <c r="A453" s="33"/>
      <c r="B453" s="34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6"/>
    </row>
    <row r="454" spans="1:18" x14ac:dyDescent="0.25">
      <c r="A454" s="33"/>
      <c r="B454" s="34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6"/>
    </row>
    <row r="455" spans="1:18" x14ac:dyDescent="0.25">
      <c r="A455" s="33"/>
      <c r="B455" s="34" t="s">
        <v>1133</v>
      </c>
      <c r="C455" s="35" t="s">
        <v>1134</v>
      </c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6"/>
    </row>
    <row r="456" spans="1:18" x14ac:dyDescent="0.25">
      <c r="A456" s="33"/>
      <c r="B456" s="34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6"/>
    </row>
    <row r="457" spans="1:18" x14ac:dyDescent="0.25">
      <c r="A457" s="33"/>
      <c r="B457" s="34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6"/>
    </row>
    <row r="458" spans="1:18" x14ac:dyDescent="0.25">
      <c r="A458" s="33"/>
      <c r="B458" s="34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6"/>
    </row>
    <row r="459" spans="1:18" x14ac:dyDescent="0.25">
      <c r="A459" s="33"/>
      <c r="B459" s="34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6"/>
    </row>
    <row r="460" spans="1:18" x14ac:dyDescent="0.25">
      <c r="A460" s="33"/>
      <c r="B460" s="34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6"/>
    </row>
    <row r="461" spans="1:18" x14ac:dyDescent="0.25">
      <c r="A461" s="33"/>
      <c r="B461" s="34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6"/>
    </row>
    <row r="462" spans="1:18" x14ac:dyDescent="0.25">
      <c r="A462" s="33"/>
      <c r="B462" s="34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6"/>
    </row>
    <row r="463" spans="1:18" x14ac:dyDescent="0.25">
      <c r="A463" s="33"/>
      <c r="B463" s="34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6"/>
    </row>
    <row r="464" spans="1:18" x14ac:dyDescent="0.25">
      <c r="A464" s="33"/>
      <c r="B464" s="34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6"/>
    </row>
    <row r="465" spans="1:18" x14ac:dyDescent="0.25">
      <c r="A465" s="33"/>
      <c r="B465" s="34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6"/>
    </row>
    <row r="466" spans="1:18" x14ac:dyDescent="0.25">
      <c r="A466" s="33"/>
      <c r="B466" s="34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6"/>
    </row>
    <row r="467" spans="1:18" x14ac:dyDescent="0.25">
      <c r="A467" s="33"/>
      <c r="B467" s="34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6"/>
    </row>
    <row r="468" spans="1:18" x14ac:dyDescent="0.25">
      <c r="A468" s="33"/>
      <c r="B468" s="34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6"/>
    </row>
    <row r="469" spans="1:18" x14ac:dyDescent="0.25">
      <c r="A469" s="33"/>
      <c r="B469" s="34" t="s">
        <v>1135</v>
      </c>
      <c r="C469" s="35" t="s">
        <v>1136</v>
      </c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6"/>
    </row>
    <row r="470" spans="1:18" x14ac:dyDescent="0.25">
      <c r="A470" s="33"/>
      <c r="B470" s="34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6"/>
    </row>
    <row r="471" spans="1:18" x14ac:dyDescent="0.25">
      <c r="A471" s="33"/>
      <c r="B471" s="34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6"/>
    </row>
    <row r="472" spans="1:18" x14ac:dyDescent="0.25">
      <c r="A472" s="33"/>
      <c r="B472" s="34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6"/>
    </row>
    <row r="473" spans="1:18" x14ac:dyDescent="0.25">
      <c r="A473" s="33"/>
      <c r="B473" s="34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6"/>
    </row>
    <row r="474" spans="1:18" x14ac:dyDescent="0.25">
      <c r="A474" s="33"/>
      <c r="B474" s="34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6"/>
    </row>
    <row r="475" spans="1:18" x14ac:dyDescent="0.25">
      <c r="A475" s="33"/>
      <c r="B475" s="34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6"/>
    </row>
    <row r="476" spans="1:18" x14ac:dyDescent="0.25">
      <c r="A476" s="33"/>
      <c r="B476" s="34" t="s">
        <v>1137</v>
      </c>
      <c r="C476" s="35" t="s">
        <v>1138</v>
      </c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6"/>
    </row>
    <row r="477" spans="1:18" x14ac:dyDescent="0.25">
      <c r="A477" s="33"/>
      <c r="B477" s="34" t="s">
        <v>1139</v>
      </c>
      <c r="C477" s="35" t="s">
        <v>1140</v>
      </c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6"/>
    </row>
    <row r="478" spans="1:18" x14ac:dyDescent="0.25">
      <c r="A478" s="33"/>
      <c r="B478" s="34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6"/>
    </row>
    <row r="479" spans="1:18" x14ac:dyDescent="0.25">
      <c r="A479" s="33"/>
      <c r="B479" s="34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6"/>
    </row>
    <row r="480" spans="1:18" x14ac:dyDescent="0.25">
      <c r="A480" s="33"/>
      <c r="B480" s="34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6"/>
    </row>
    <row r="481" spans="1:18" x14ac:dyDescent="0.25">
      <c r="A481" s="33"/>
      <c r="B481" s="34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6"/>
    </row>
    <row r="482" spans="1:18" x14ac:dyDescent="0.25">
      <c r="A482" s="33"/>
      <c r="B482" s="34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6"/>
    </row>
    <row r="483" spans="1:18" x14ac:dyDescent="0.25">
      <c r="A483" s="33"/>
      <c r="B483" s="34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6"/>
    </row>
    <row r="484" spans="1:18" x14ac:dyDescent="0.25">
      <c r="A484" s="33"/>
      <c r="B484" s="34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6"/>
    </row>
    <row r="485" spans="1:18" x14ac:dyDescent="0.25">
      <c r="A485" s="33"/>
      <c r="B485" s="34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6"/>
    </row>
    <row r="486" spans="1:18" x14ac:dyDescent="0.25">
      <c r="A486" s="33"/>
      <c r="B486" s="34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6"/>
    </row>
    <row r="487" spans="1:18" x14ac:dyDescent="0.25">
      <c r="A487" s="33"/>
      <c r="B487" s="34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6"/>
    </row>
    <row r="488" spans="1:18" x14ac:dyDescent="0.25">
      <c r="A488" s="33"/>
      <c r="B488" s="34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6"/>
    </row>
    <row r="489" spans="1:18" x14ac:dyDescent="0.25">
      <c r="A489" s="33"/>
      <c r="B489" s="34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6"/>
    </row>
    <row r="490" spans="1:18" x14ac:dyDescent="0.25">
      <c r="A490" s="33"/>
      <c r="B490" s="34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6"/>
    </row>
    <row r="491" spans="1:18" x14ac:dyDescent="0.25">
      <c r="A491" s="33"/>
      <c r="B491" s="34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6"/>
    </row>
    <row r="492" spans="1:18" x14ac:dyDescent="0.25">
      <c r="A492" s="33"/>
      <c r="B492" s="34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6"/>
    </row>
    <row r="493" spans="1:18" x14ac:dyDescent="0.25">
      <c r="A493" s="33"/>
      <c r="B493" s="34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6"/>
    </row>
    <row r="494" spans="1:18" x14ac:dyDescent="0.25">
      <c r="A494" s="33"/>
      <c r="B494" s="34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6"/>
    </row>
    <row r="495" spans="1:18" x14ac:dyDescent="0.25">
      <c r="A495" s="33"/>
      <c r="B495" s="34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6"/>
    </row>
    <row r="496" spans="1:18" x14ac:dyDescent="0.25">
      <c r="A496" s="33"/>
      <c r="B496" s="34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6"/>
    </row>
    <row r="497" spans="1:18" x14ac:dyDescent="0.25">
      <c r="A497" s="33"/>
      <c r="B497" s="34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6"/>
    </row>
    <row r="498" spans="1:18" x14ac:dyDescent="0.25">
      <c r="A498" s="33"/>
      <c r="B498" s="34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6"/>
    </row>
    <row r="499" spans="1:18" x14ac:dyDescent="0.25">
      <c r="A499" s="33"/>
      <c r="B499" s="34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6"/>
    </row>
    <row r="500" spans="1:18" x14ac:dyDescent="0.25">
      <c r="A500" s="33"/>
      <c r="B500" s="34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6"/>
    </row>
    <row r="501" spans="1:18" x14ac:dyDescent="0.25">
      <c r="A501" s="33"/>
      <c r="B501" s="34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6"/>
    </row>
    <row r="502" spans="1:18" x14ac:dyDescent="0.25">
      <c r="A502" s="33"/>
      <c r="B502" s="34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6"/>
    </row>
    <row r="503" spans="1:18" x14ac:dyDescent="0.25">
      <c r="A503" s="33"/>
      <c r="B503" s="34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6"/>
    </row>
    <row r="504" spans="1:18" x14ac:dyDescent="0.25">
      <c r="A504" s="33"/>
      <c r="B504" s="34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6"/>
    </row>
    <row r="505" spans="1:18" x14ac:dyDescent="0.25">
      <c r="A505" s="33"/>
      <c r="B505" s="34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6"/>
    </row>
    <row r="506" spans="1:18" x14ac:dyDescent="0.25">
      <c r="A506" s="33"/>
      <c r="B506" s="34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6"/>
    </row>
    <row r="507" spans="1:18" x14ac:dyDescent="0.25">
      <c r="A507" s="33"/>
      <c r="B507" s="34" t="s">
        <v>1141</v>
      </c>
      <c r="C507" s="35" t="s">
        <v>1142</v>
      </c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6"/>
    </row>
    <row r="508" spans="1:18" x14ac:dyDescent="0.25">
      <c r="A508" s="33"/>
      <c r="B508" s="34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6"/>
    </row>
    <row r="509" spans="1:18" x14ac:dyDescent="0.25">
      <c r="A509" s="33"/>
      <c r="B509" s="34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6"/>
    </row>
    <row r="510" spans="1:18" x14ac:dyDescent="0.25">
      <c r="A510" s="33"/>
      <c r="B510" s="34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6"/>
    </row>
    <row r="511" spans="1:18" x14ac:dyDescent="0.25">
      <c r="A511" s="33"/>
      <c r="B511" s="34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6"/>
    </row>
    <row r="512" spans="1:18" x14ac:dyDescent="0.25">
      <c r="A512" s="33"/>
      <c r="B512" s="34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6"/>
    </row>
    <row r="513" spans="1:18" x14ac:dyDescent="0.25">
      <c r="A513" s="33"/>
      <c r="B513" s="34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6"/>
    </row>
    <row r="514" spans="1:18" x14ac:dyDescent="0.25">
      <c r="A514" s="33"/>
      <c r="B514" s="34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6"/>
    </row>
    <row r="515" spans="1:18" x14ac:dyDescent="0.25">
      <c r="A515" s="33"/>
      <c r="B515" s="34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6"/>
    </row>
    <row r="516" spans="1:18" x14ac:dyDescent="0.25">
      <c r="A516" s="33"/>
      <c r="B516" s="34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6"/>
    </row>
    <row r="517" spans="1:18" x14ac:dyDescent="0.25">
      <c r="A517" s="33"/>
      <c r="B517" s="34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6"/>
    </row>
    <row r="518" spans="1:18" x14ac:dyDescent="0.25">
      <c r="A518" s="33"/>
      <c r="B518" s="34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6"/>
    </row>
    <row r="519" spans="1:18" x14ac:dyDescent="0.25">
      <c r="A519" s="33"/>
      <c r="B519" s="34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6"/>
    </row>
    <row r="520" spans="1:18" x14ac:dyDescent="0.25">
      <c r="A520" s="33"/>
      <c r="B520" s="34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6"/>
    </row>
    <row r="521" spans="1:18" x14ac:dyDescent="0.25">
      <c r="A521" s="33"/>
      <c r="B521" s="34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6"/>
    </row>
    <row r="522" spans="1:18" ht="89.4" customHeight="1" x14ac:dyDescent="0.25">
      <c r="A522" s="33"/>
      <c r="B522" s="34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6"/>
    </row>
    <row r="523" spans="1:18" ht="22.8" customHeight="1" x14ac:dyDescent="0.25">
      <c r="A523" s="33"/>
      <c r="B523" s="34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6"/>
    </row>
    <row r="524" spans="1:18" x14ac:dyDescent="0.25">
      <c r="A524" s="33"/>
      <c r="B524" s="64" t="s">
        <v>1147</v>
      </c>
      <c r="C524" s="27" t="s">
        <v>1143</v>
      </c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36"/>
    </row>
    <row r="525" spans="1:18" x14ac:dyDescent="0.25">
      <c r="A525" s="33"/>
      <c r="B525" s="64" t="s">
        <v>1148</v>
      </c>
      <c r="C525" s="27" t="s">
        <v>1144</v>
      </c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36"/>
    </row>
    <row r="526" spans="1:18" x14ac:dyDescent="0.25">
      <c r="A526" s="33"/>
      <c r="B526" s="64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36"/>
    </row>
    <row r="527" spans="1:18" x14ac:dyDescent="0.25">
      <c r="A527" s="33"/>
      <c r="B527" s="64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36"/>
    </row>
    <row r="528" spans="1:18" x14ac:dyDescent="0.25">
      <c r="A528" s="33"/>
      <c r="B528" s="64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36"/>
    </row>
    <row r="529" spans="1:18" x14ac:dyDescent="0.25">
      <c r="A529" s="33"/>
      <c r="B529" s="64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36"/>
    </row>
    <row r="530" spans="1:18" x14ac:dyDescent="0.25">
      <c r="A530" s="33"/>
      <c r="B530" s="64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36"/>
    </row>
    <row r="531" spans="1:18" x14ac:dyDescent="0.25">
      <c r="A531" s="33"/>
      <c r="B531" s="64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36"/>
    </row>
    <row r="532" spans="1:18" x14ac:dyDescent="0.25">
      <c r="A532" s="33"/>
      <c r="B532" s="64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36"/>
    </row>
    <row r="533" spans="1:18" x14ac:dyDescent="0.25">
      <c r="A533" s="33"/>
      <c r="B533" s="64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36"/>
    </row>
    <row r="534" spans="1:18" x14ac:dyDescent="0.25">
      <c r="A534" s="33"/>
      <c r="B534" s="64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36"/>
    </row>
    <row r="535" spans="1:18" x14ac:dyDescent="0.25">
      <c r="A535" s="33"/>
      <c r="B535" s="64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36"/>
    </row>
    <row r="536" spans="1:18" x14ac:dyDescent="0.25">
      <c r="A536" s="33"/>
      <c r="B536" s="64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36"/>
    </row>
    <row r="537" spans="1:18" x14ac:dyDescent="0.25">
      <c r="A537" s="33"/>
      <c r="B537" s="64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36"/>
    </row>
    <row r="538" spans="1:18" x14ac:dyDescent="0.25">
      <c r="A538" s="33"/>
      <c r="B538" s="64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36"/>
    </row>
    <row r="539" spans="1:18" x14ac:dyDescent="0.25">
      <c r="A539" s="33"/>
      <c r="B539" s="64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36"/>
    </row>
    <row r="540" spans="1:18" x14ac:dyDescent="0.25">
      <c r="A540" s="33"/>
      <c r="B540" s="64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36"/>
    </row>
    <row r="541" spans="1:18" x14ac:dyDescent="0.25">
      <c r="A541" s="33"/>
      <c r="B541" s="64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36"/>
    </row>
    <row r="542" spans="1:18" x14ac:dyDescent="0.25">
      <c r="A542" s="33"/>
      <c r="B542" s="64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36"/>
    </row>
    <row r="543" spans="1:18" x14ac:dyDescent="0.25">
      <c r="A543" s="33"/>
      <c r="B543" s="64" t="s">
        <v>1149</v>
      </c>
      <c r="C543" s="27" t="s">
        <v>1145</v>
      </c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36"/>
    </row>
    <row r="544" spans="1:18" x14ac:dyDescent="0.25">
      <c r="A544" s="33"/>
      <c r="B544" s="64" t="s">
        <v>1150</v>
      </c>
      <c r="C544" s="27" t="s">
        <v>1146</v>
      </c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36"/>
    </row>
    <row r="545" spans="1:18" x14ac:dyDescent="0.25">
      <c r="A545" s="33"/>
      <c r="B545" s="64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36"/>
    </row>
    <row r="546" spans="1:18" x14ac:dyDescent="0.25">
      <c r="A546" s="33"/>
      <c r="B546" s="64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36"/>
    </row>
    <row r="547" spans="1:18" x14ac:dyDescent="0.25">
      <c r="A547" s="33"/>
      <c r="B547" s="64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36"/>
    </row>
    <row r="548" spans="1:18" x14ac:dyDescent="0.25">
      <c r="A548" s="33"/>
      <c r="B548" s="64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36"/>
    </row>
    <row r="549" spans="1:18" x14ac:dyDescent="0.25">
      <c r="A549" s="33"/>
      <c r="B549" s="64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36"/>
    </row>
    <row r="550" spans="1:18" x14ac:dyDescent="0.25">
      <c r="A550" s="33"/>
      <c r="B550" s="64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36"/>
    </row>
    <row r="551" spans="1:18" x14ac:dyDescent="0.25">
      <c r="A551" s="33"/>
      <c r="B551" s="64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36"/>
    </row>
    <row r="552" spans="1:18" x14ac:dyDescent="0.25">
      <c r="A552" s="33"/>
      <c r="B552" s="64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36"/>
    </row>
    <row r="553" spans="1:18" x14ac:dyDescent="0.25">
      <c r="A553" s="33"/>
      <c r="B553" s="64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36"/>
    </row>
    <row r="554" spans="1:18" x14ac:dyDescent="0.25">
      <c r="A554" s="33"/>
      <c r="B554" s="64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36"/>
    </row>
    <row r="555" spans="1:18" x14ac:dyDescent="0.25">
      <c r="A555" s="33"/>
      <c r="B555" s="64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36"/>
    </row>
    <row r="556" spans="1:18" x14ac:dyDescent="0.25">
      <c r="A556" s="33"/>
      <c r="B556" s="64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36"/>
    </row>
    <row r="557" spans="1:18" x14ac:dyDescent="0.25">
      <c r="A557" s="33"/>
      <c r="B557" s="64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36"/>
    </row>
    <row r="558" spans="1:18" x14ac:dyDescent="0.25">
      <c r="A558" s="33"/>
      <c r="B558" s="64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36"/>
    </row>
    <row r="559" spans="1:18" x14ac:dyDescent="0.25">
      <c r="A559" s="33"/>
      <c r="B559" s="64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36"/>
    </row>
    <row r="560" spans="1:18" x14ac:dyDescent="0.25">
      <c r="A560" s="33"/>
      <c r="B560" s="64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36"/>
    </row>
    <row r="561" spans="1:18" x14ac:dyDescent="0.25">
      <c r="A561" s="33"/>
      <c r="B561" s="64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36"/>
    </row>
    <row r="562" spans="1:18" x14ac:dyDescent="0.25">
      <c r="A562" s="33"/>
      <c r="B562" s="64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36"/>
    </row>
    <row r="563" spans="1:18" x14ac:dyDescent="0.25">
      <c r="A563" s="33"/>
      <c r="B563" s="64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36"/>
    </row>
    <row r="564" spans="1:18" x14ac:dyDescent="0.25">
      <c r="A564" s="33"/>
      <c r="B564" s="64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36"/>
    </row>
    <row r="565" spans="1:18" x14ac:dyDescent="0.25">
      <c r="A565" s="33"/>
      <c r="B565" s="64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36"/>
    </row>
    <row r="566" spans="1:18" x14ac:dyDescent="0.25">
      <c r="A566" s="33"/>
      <c r="B566" s="64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36"/>
    </row>
    <row r="567" spans="1:18" x14ac:dyDescent="0.25">
      <c r="A567" s="33"/>
      <c r="B567" s="64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36"/>
    </row>
    <row r="568" spans="1:18" x14ac:dyDescent="0.25">
      <c r="A568" s="33"/>
      <c r="B568" s="64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36"/>
    </row>
    <row r="569" spans="1:18" x14ac:dyDescent="0.25">
      <c r="A569" s="33"/>
      <c r="B569" s="64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36"/>
    </row>
    <row r="570" spans="1:18" x14ac:dyDescent="0.25">
      <c r="A570" s="33"/>
      <c r="B570" s="64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36"/>
    </row>
    <row r="571" spans="1:18" x14ac:dyDescent="0.25">
      <c r="A571" s="33"/>
      <c r="B571" s="64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36"/>
    </row>
    <row r="572" spans="1:18" x14ac:dyDescent="0.25">
      <c r="A572" s="33"/>
      <c r="B572" s="64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36"/>
    </row>
    <row r="573" spans="1:18" x14ac:dyDescent="0.25">
      <c r="A573" s="33"/>
      <c r="B573" s="64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36"/>
    </row>
    <row r="574" spans="1:18" x14ac:dyDescent="0.25">
      <c r="A574" s="33"/>
      <c r="B574" s="64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36"/>
    </row>
    <row r="575" spans="1:18" x14ac:dyDescent="0.25">
      <c r="A575" s="33"/>
      <c r="B575" s="64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36"/>
    </row>
    <row r="576" spans="1:18" x14ac:dyDescent="0.25">
      <c r="A576" s="33"/>
      <c r="B576" s="64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36"/>
    </row>
    <row r="577" spans="1:18" x14ac:dyDescent="0.25">
      <c r="A577" s="33"/>
      <c r="B577" s="64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36"/>
    </row>
    <row r="578" spans="1:18" x14ac:dyDescent="0.25">
      <c r="A578" s="33"/>
      <c r="B578" s="64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36"/>
    </row>
    <row r="579" spans="1:18" x14ac:dyDescent="0.25">
      <c r="A579" s="33"/>
      <c r="B579" s="64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36"/>
    </row>
    <row r="580" spans="1:18" x14ac:dyDescent="0.25">
      <c r="A580" s="33"/>
      <c r="B580" s="34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6"/>
    </row>
    <row r="581" spans="1:18" x14ac:dyDescent="0.25">
      <c r="A581" s="33"/>
      <c r="B581" s="34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6"/>
    </row>
    <row r="582" spans="1:18" x14ac:dyDescent="0.25">
      <c r="A582" s="33"/>
      <c r="B582" s="34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6"/>
    </row>
    <row r="583" spans="1:18" x14ac:dyDescent="0.25">
      <c r="A583" s="33"/>
      <c r="B583" s="34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6"/>
    </row>
    <row r="584" spans="1:18" x14ac:dyDescent="0.25">
      <c r="A584" s="33"/>
      <c r="B584" s="34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6"/>
    </row>
    <row r="585" spans="1:18" x14ac:dyDescent="0.25">
      <c r="A585" s="33"/>
      <c r="B585" s="34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6"/>
    </row>
    <row r="586" spans="1:18" x14ac:dyDescent="0.25">
      <c r="A586" s="33"/>
      <c r="B586" s="34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6"/>
    </row>
    <row r="587" spans="1:18" x14ac:dyDescent="0.25">
      <c r="A587" s="33"/>
      <c r="B587" s="34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6"/>
    </row>
    <row r="588" spans="1:18" x14ac:dyDescent="0.25">
      <c r="A588" s="33"/>
      <c r="B588" s="34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6"/>
    </row>
    <row r="589" spans="1:18" x14ac:dyDescent="0.25">
      <c r="A589" s="33"/>
      <c r="B589" s="34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6"/>
    </row>
    <row r="590" spans="1:18" x14ac:dyDescent="0.25">
      <c r="A590" s="33"/>
      <c r="B590" s="34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6"/>
    </row>
    <row r="591" spans="1:18" x14ac:dyDescent="0.25">
      <c r="A591" s="33"/>
      <c r="B591" s="34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6"/>
    </row>
    <row r="592" spans="1:18" x14ac:dyDescent="0.25">
      <c r="A592" s="33"/>
      <c r="B592" s="34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6"/>
    </row>
    <row r="593" spans="1:18" x14ac:dyDescent="0.25">
      <c r="A593" s="33"/>
      <c r="B593" s="34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6"/>
    </row>
    <row r="594" spans="1:18" x14ac:dyDescent="0.25">
      <c r="A594" s="33"/>
      <c r="B594" s="34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6"/>
    </row>
    <row r="595" spans="1:18" x14ac:dyDescent="0.25">
      <c r="A595" s="33"/>
      <c r="B595" s="34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6"/>
    </row>
    <row r="596" spans="1:18" x14ac:dyDescent="0.25">
      <c r="A596" s="33"/>
      <c r="B596" s="34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6"/>
    </row>
    <row r="597" spans="1:18" x14ac:dyDescent="0.25">
      <c r="A597" s="33"/>
      <c r="B597" s="34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6"/>
    </row>
    <row r="598" spans="1:18" x14ac:dyDescent="0.25">
      <c r="A598" s="33"/>
      <c r="B598" s="34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6"/>
    </row>
    <row r="599" spans="1:18" x14ac:dyDescent="0.25">
      <c r="A599" s="33"/>
      <c r="B599" s="34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6"/>
    </row>
    <row r="600" spans="1:18" x14ac:dyDescent="0.25">
      <c r="A600" s="33"/>
      <c r="B600" s="34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6"/>
    </row>
    <row r="601" spans="1:18" x14ac:dyDescent="0.25">
      <c r="A601" s="33"/>
      <c r="B601" s="34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6"/>
    </row>
    <row r="602" spans="1:18" x14ac:dyDescent="0.25">
      <c r="A602" s="33"/>
      <c r="B602" s="34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6"/>
    </row>
    <row r="603" spans="1:18" hidden="1" x14ac:dyDescent="0.25">
      <c r="A603" s="33"/>
      <c r="B603" s="34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6"/>
    </row>
    <row r="604" spans="1:18" hidden="1" x14ac:dyDescent="0.25">
      <c r="A604" s="33"/>
      <c r="B604" s="34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6"/>
    </row>
    <row r="605" spans="1:18" hidden="1" x14ac:dyDescent="0.25">
      <c r="A605" s="33"/>
      <c r="B605" s="34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6"/>
    </row>
    <row r="606" spans="1:18" hidden="1" x14ac:dyDescent="0.25">
      <c r="A606" s="33"/>
      <c r="B606" s="34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6"/>
    </row>
    <row r="607" spans="1:18" x14ac:dyDescent="0.25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BE8A4-E541-4BA6-9873-0D301F0B2CDC}">
  <sheetPr codeName="Sheet1"/>
  <dimension ref="C5:S21"/>
  <sheetViews>
    <sheetView topLeftCell="C1" zoomScale="70" zoomScaleNormal="70" workbookViewId="0">
      <selection activeCell="R26" sqref="R26"/>
    </sheetView>
  </sheetViews>
  <sheetFormatPr defaultRowHeight="13.2" x14ac:dyDescent="0.25"/>
  <cols>
    <col min="3" max="3" width="19.6640625" customWidth="1"/>
    <col min="4" max="6" width="3.77734375" customWidth="1"/>
    <col min="7" max="7" width="51.44140625" customWidth="1"/>
    <col min="8" max="10" width="3.77734375" customWidth="1"/>
    <col min="11" max="11" width="51.77734375" customWidth="1"/>
    <col min="12" max="14" width="3.77734375" customWidth="1"/>
    <col min="15" max="15" width="51.77734375" customWidth="1"/>
    <col min="17" max="17" width="4.109375" customWidth="1"/>
    <col min="18" max="18" width="34.33203125" customWidth="1"/>
    <col min="19" max="19" width="27.6640625" style="48" customWidth="1"/>
  </cols>
  <sheetData>
    <row r="5" spans="3:19" ht="13.8" thickBot="1" x14ac:dyDescent="0.3"/>
    <row r="6" spans="3:19" ht="31.05" customHeight="1" thickBot="1" x14ac:dyDescent="0.3">
      <c r="C6" s="1"/>
      <c r="D6" s="2"/>
      <c r="E6" s="20"/>
      <c r="F6" s="21"/>
      <c r="G6" s="3" t="s">
        <v>0</v>
      </c>
      <c r="H6" s="4"/>
      <c r="I6" s="4"/>
      <c r="J6" s="4"/>
      <c r="K6" s="3" t="s">
        <v>1</v>
      </c>
      <c r="L6" s="4"/>
      <c r="M6" s="4"/>
      <c r="N6" s="4"/>
      <c r="O6" s="3" t="s">
        <v>2</v>
      </c>
    </row>
    <row r="7" spans="3:19" ht="31.05" customHeight="1" thickBot="1" x14ac:dyDescent="0.3">
      <c r="C7" s="5"/>
      <c r="D7" s="6" t="s">
        <v>3</v>
      </c>
      <c r="E7" s="7" t="s">
        <v>4</v>
      </c>
      <c r="F7" s="8" t="s">
        <v>5</v>
      </c>
      <c r="G7" s="9"/>
      <c r="H7" s="6" t="s">
        <v>3</v>
      </c>
      <c r="I7" s="7" t="s">
        <v>4</v>
      </c>
      <c r="J7" s="8" t="s">
        <v>5</v>
      </c>
      <c r="K7" s="9"/>
      <c r="L7" s="6" t="s">
        <v>3</v>
      </c>
      <c r="M7" s="7" t="s">
        <v>4</v>
      </c>
      <c r="N7" s="8" t="s">
        <v>5</v>
      </c>
      <c r="O7" s="9"/>
    </row>
    <row r="8" spans="3:19" ht="31.05" customHeight="1" thickBot="1" x14ac:dyDescent="0.3">
      <c r="C8" s="49" t="s">
        <v>6</v>
      </c>
      <c r="D8" s="10">
        <f>COUNTIF(Data!Y:Y,1)</f>
        <v>6</v>
      </c>
      <c r="E8" s="11">
        <f>COUNTIF(Data!Y:Y,2)</f>
        <v>1</v>
      </c>
      <c r="F8" s="12">
        <f>COUNTIF(Data!Y:Y,3)</f>
        <v>1</v>
      </c>
      <c r="G8" s="13" t="s">
        <v>7</v>
      </c>
      <c r="H8" s="10">
        <f>COUNTIF(Data!AB:AB,1)</f>
        <v>4</v>
      </c>
      <c r="I8" s="11">
        <f>COUNTIF(Data!AB:AB,2)</f>
        <v>2</v>
      </c>
      <c r="J8" s="12">
        <f>COUNTIF(Data!AB:AB,3)</f>
        <v>1</v>
      </c>
      <c r="K8" s="13" t="s">
        <v>8</v>
      </c>
      <c r="L8" s="10">
        <f>COUNTIF(Data!AD:AD,1)</f>
        <v>3</v>
      </c>
      <c r="M8" s="11">
        <f>COUNTIF(Data!AD:AD,2)</f>
        <v>1</v>
      </c>
      <c r="N8" s="12">
        <f>COUNTIF(Data!AD:AD,3)</f>
        <v>3</v>
      </c>
      <c r="O8" s="13" t="s">
        <v>9</v>
      </c>
    </row>
    <row r="9" spans="3:19" ht="31.05" customHeight="1" thickBot="1" x14ac:dyDescent="0.3">
      <c r="C9" s="50"/>
      <c r="D9" s="10">
        <f>COUNTIF(Data!Z:Z,1)</f>
        <v>3</v>
      </c>
      <c r="E9" s="11">
        <f>COUNTIF(Data!Z:Z,2)</f>
        <v>5</v>
      </c>
      <c r="F9" s="11">
        <f>COUNTIF(Data!Z:Z,3)</f>
        <v>1</v>
      </c>
      <c r="G9" s="15" t="s">
        <v>10</v>
      </c>
      <c r="H9" s="10">
        <f>COUNTIF(Data!AC:AC,1)</f>
        <v>3</v>
      </c>
      <c r="I9" s="11">
        <f>COUNTIF(Data!AC:AC,2)</f>
        <v>2</v>
      </c>
      <c r="J9" s="12">
        <f>COUNTIF(Data!AC:AC,3)</f>
        <v>2</v>
      </c>
      <c r="K9" s="15" t="s">
        <v>11</v>
      </c>
      <c r="L9" s="10">
        <f>COUNTIF(Data!AE:AE,1)</f>
        <v>3</v>
      </c>
      <c r="M9" s="11">
        <f>COUNTIF(Data!AE:AE,2)</f>
        <v>4</v>
      </c>
      <c r="N9" s="12">
        <f>COUNTIF(Data!AE:AE,3)</f>
        <v>1</v>
      </c>
      <c r="O9" s="15" t="s">
        <v>12</v>
      </c>
      <c r="Q9" s="3"/>
      <c r="R9" s="3" t="s">
        <v>1128</v>
      </c>
      <c r="S9" s="3" t="s">
        <v>1129</v>
      </c>
    </row>
    <row r="10" spans="3:19" ht="31.05" customHeight="1" thickBot="1" x14ac:dyDescent="0.3">
      <c r="C10" s="51"/>
      <c r="D10" s="10">
        <f>COUNTIF(Data!AA:AA,1)</f>
        <v>1</v>
      </c>
      <c r="E10" s="11">
        <f>COUNTIF(Data!AA:AA,2)</f>
        <v>2</v>
      </c>
      <c r="F10" s="11">
        <f>COUNTIF(Data!AA:AA,3)</f>
        <v>5</v>
      </c>
      <c r="G10" s="17" t="s">
        <v>13</v>
      </c>
      <c r="H10" s="14"/>
      <c r="I10" s="14"/>
      <c r="J10" s="14"/>
      <c r="K10" s="18"/>
      <c r="L10" s="16"/>
      <c r="N10" s="16"/>
      <c r="O10" s="18"/>
    </row>
    <row r="11" spans="3:19" ht="31.05" customHeight="1" thickBot="1" x14ac:dyDescent="0.3">
      <c r="C11" s="49" t="s">
        <v>14</v>
      </c>
      <c r="D11" s="10">
        <f>COUNTIF(Data!AM:AM,1)</f>
        <v>5</v>
      </c>
      <c r="E11" s="11">
        <f>COUNTIF(Data!AM:AM,2)</f>
        <v>1</v>
      </c>
      <c r="F11" s="12">
        <f>COUNTIF(Data!AM:AM,3)</f>
        <v>0</v>
      </c>
      <c r="G11" s="13" t="s">
        <v>15</v>
      </c>
      <c r="H11" s="10">
        <f>COUNTIF(Data!AP:AP,1)</f>
        <v>5</v>
      </c>
      <c r="I11" s="11">
        <f>COUNTIF(Data!AP:AP,2)</f>
        <v>0</v>
      </c>
      <c r="J11" s="12">
        <f>COUNTIF(Data!AP:AP,3)</f>
        <v>0</v>
      </c>
      <c r="K11" s="13" t="s">
        <v>16</v>
      </c>
      <c r="L11" s="10">
        <f>COUNTIF(Data!AR:AR,1)</f>
        <v>3</v>
      </c>
      <c r="M11" s="11">
        <f>COUNTIF(Data!AR:AR,2)</f>
        <v>1</v>
      </c>
      <c r="N11" s="12">
        <f>COUNTIF(Data!AR:AR,3)</f>
        <v>0</v>
      </c>
      <c r="O11" s="13" t="s">
        <v>17</v>
      </c>
    </row>
    <row r="12" spans="3:19" ht="31.05" customHeight="1" thickBot="1" x14ac:dyDescent="0.3">
      <c r="C12" s="50"/>
      <c r="D12" s="10">
        <f>COUNTIF(Data!AN:AN,1)</f>
        <v>2</v>
      </c>
      <c r="E12" s="11">
        <f>COUNTIF(Data!AN:AN,2)</f>
        <v>3</v>
      </c>
      <c r="F12" s="12">
        <f>COUNTIF(Data!AN:AN,3)</f>
        <v>0</v>
      </c>
      <c r="G12" s="15" t="s">
        <v>18</v>
      </c>
      <c r="H12" s="10">
        <f>COUNTIF(Data!AQ:AQ,1)</f>
        <v>3</v>
      </c>
      <c r="I12" s="11">
        <f>COUNTIF(Data!AQ:AQ,2)</f>
        <v>3</v>
      </c>
      <c r="J12" s="12">
        <f>COUNTIF(Data!AQ:AQ,3)</f>
        <v>0</v>
      </c>
      <c r="K12" s="15" t="s">
        <v>19</v>
      </c>
      <c r="L12" s="10">
        <f>COUNTIF(Data!AS:AS,1)</f>
        <v>2</v>
      </c>
      <c r="M12" s="11">
        <f>COUNTIF(Data!AS:AS,2)</f>
        <v>4</v>
      </c>
      <c r="N12" s="12">
        <f>COUNTIF(Data!AS:AS,3)</f>
        <v>0</v>
      </c>
      <c r="O12" s="15" t="s">
        <v>20</v>
      </c>
    </row>
    <row r="13" spans="3:19" ht="31.05" customHeight="1" thickBot="1" x14ac:dyDescent="0.3">
      <c r="C13" s="50"/>
      <c r="D13" s="10">
        <f>COUNTIF(Data!AO:AO,1)</f>
        <v>2</v>
      </c>
      <c r="E13" s="11">
        <f>COUNTIF(Data!AO:AO,2)</f>
        <v>2</v>
      </c>
      <c r="F13" s="12">
        <f>COUNTIF(Data!AO:AO,3)</f>
        <v>1</v>
      </c>
      <c r="G13" s="15" t="s">
        <v>21</v>
      </c>
      <c r="H13" s="16"/>
      <c r="I13" s="16"/>
      <c r="J13" s="16"/>
      <c r="K13" s="19"/>
      <c r="L13" s="10">
        <f>COUNTIF(Data!AT:AT,1)</f>
        <v>2</v>
      </c>
      <c r="M13" s="11">
        <f>COUNTIF(Data!AT:AT,2)</f>
        <v>2</v>
      </c>
      <c r="N13" s="12">
        <f>COUNTIF(Data!AT:AT,3)</f>
        <v>1</v>
      </c>
      <c r="O13" s="15" t="s">
        <v>22</v>
      </c>
    </row>
    <row r="14" spans="3:19" ht="31.05" customHeight="1" thickBot="1" x14ac:dyDescent="0.3">
      <c r="C14" s="51"/>
      <c r="D14" s="16"/>
      <c r="E14" s="16"/>
      <c r="F14" s="16"/>
      <c r="G14" s="18"/>
      <c r="H14" s="16"/>
      <c r="I14" s="16"/>
      <c r="J14" s="16"/>
      <c r="K14" s="18"/>
      <c r="L14" s="10">
        <f>COUNTIF(Data!AU:AU,1)</f>
        <v>2</v>
      </c>
      <c r="M14" s="11">
        <f>COUNTIF(Data!AT:AT,2)</f>
        <v>2</v>
      </c>
      <c r="N14" s="12">
        <f>COUNTIF(Data!AT:AT,3)</f>
        <v>1</v>
      </c>
      <c r="O14" s="17" t="s">
        <v>23</v>
      </c>
    </row>
    <row r="15" spans="3:19" ht="31.05" customHeight="1" thickBot="1" x14ac:dyDescent="0.3">
      <c r="C15" s="49" t="s">
        <v>24</v>
      </c>
      <c r="D15" s="10">
        <f>COUNTIF(Data!BE:BE,1)</f>
        <v>7</v>
      </c>
      <c r="E15" s="11">
        <f>COUNTIF(Data!BE:BE,2)</f>
        <v>0</v>
      </c>
      <c r="F15" s="12">
        <f>COUNTIF(Data!BE:BE,3)</f>
        <v>1</v>
      </c>
      <c r="G15" s="13" t="s">
        <v>25</v>
      </c>
      <c r="H15" s="10">
        <f>COUNTIF(Data!BG:BG,1)</f>
        <v>4</v>
      </c>
      <c r="I15" s="11">
        <f>COUNTIF(Data!BG:BG,2)</f>
        <v>1</v>
      </c>
      <c r="J15" s="12">
        <f>COUNTIF(Data!BG:BG,3)</f>
        <v>0</v>
      </c>
      <c r="K15" s="13" t="s">
        <v>26</v>
      </c>
      <c r="L15" s="10">
        <f>COUNTIF(Data!BI:BI,1)</f>
        <v>3</v>
      </c>
      <c r="M15" s="11">
        <f>COUNTIF(Data!BI:BI,2)</f>
        <v>2</v>
      </c>
      <c r="N15" s="12">
        <f>COUNTIF(Data!BI:BI,3)</f>
        <v>1</v>
      </c>
      <c r="O15" s="13" t="s">
        <v>27</v>
      </c>
    </row>
    <row r="16" spans="3:19" ht="31.05" customHeight="1" thickBot="1" x14ac:dyDescent="0.3">
      <c r="C16" s="50"/>
      <c r="D16" s="10">
        <f>COUNTIF(Data!BF:BF,1)</f>
        <v>1</v>
      </c>
      <c r="E16" s="11">
        <f>COUNTIF(Data!BF:BF,2)</f>
        <v>3</v>
      </c>
      <c r="F16" s="12">
        <f>COUNTIF(Data!BF:BF,3)</f>
        <v>0</v>
      </c>
      <c r="G16" s="15" t="s">
        <v>28</v>
      </c>
      <c r="H16" s="10">
        <f>COUNTIF(Data!BH:BH,1)</f>
        <v>1</v>
      </c>
      <c r="I16" s="11">
        <f>COUNTIF(Data!BH:BH,2)</f>
        <v>2</v>
      </c>
      <c r="J16" s="12">
        <f>COUNTIF(Data!BH:BH,3)</f>
        <v>2</v>
      </c>
      <c r="K16" s="15" t="s">
        <v>29</v>
      </c>
      <c r="L16" s="10">
        <f>COUNTIF(Data!BJ:BJ,1)</f>
        <v>3</v>
      </c>
      <c r="M16" s="11">
        <f>COUNTIF(Data!BJ:BJ,2)</f>
        <v>0</v>
      </c>
      <c r="N16" s="12">
        <f>COUNTIF(Data!BJ:BJ,3)</f>
        <v>2</v>
      </c>
      <c r="O16" s="15" t="s">
        <v>30</v>
      </c>
    </row>
    <row r="17" spans="3:15" ht="28.2" thickBot="1" x14ac:dyDescent="0.3">
      <c r="C17" s="51"/>
      <c r="D17" s="16"/>
      <c r="E17" s="16"/>
      <c r="F17" s="16"/>
      <c r="G17" s="18"/>
      <c r="H17" s="16"/>
      <c r="I17" s="16"/>
      <c r="J17" s="16"/>
      <c r="K17" s="18"/>
      <c r="L17" s="10">
        <f>COUNTIF(Data!BK:BK,1)</f>
        <v>4</v>
      </c>
      <c r="M17" s="11">
        <f>COUNTIF(Data!BK:BK,2)</f>
        <v>0</v>
      </c>
      <c r="N17" s="12">
        <f>COUNTIF(Data!BK:BK,3)</f>
        <v>1</v>
      </c>
      <c r="O17" s="17" t="s">
        <v>31</v>
      </c>
    </row>
    <row r="18" spans="3:15" ht="23.4" customHeight="1" thickBot="1" x14ac:dyDescent="0.3">
      <c r="C18" s="52" t="s">
        <v>32</v>
      </c>
      <c r="D18" s="10">
        <f>COUNTIF(Data!BS:BS,1)</f>
        <v>4</v>
      </c>
      <c r="E18" s="10">
        <f>COUNTIF(Data!BS:BS,2)</f>
        <v>0</v>
      </c>
      <c r="F18" s="12">
        <f>COUNTIF(Data!BS:BS,3)</f>
        <v>1</v>
      </c>
      <c r="G18" s="55" t="s">
        <v>33</v>
      </c>
      <c r="H18" s="56"/>
      <c r="I18" s="56"/>
      <c r="J18" s="56"/>
      <c r="K18" s="56"/>
      <c r="L18" s="56"/>
      <c r="M18" s="56"/>
      <c r="N18" s="56"/>
      <c r="O18" s="57"/>
    </row>
    <row r="19" spans="3:15" ht="23.4" customHeight="1" thickBot="1" x14ac:dyDescent="0.3">
      <c r="C19" s="53"/>
      <c r="D19" s="10">
        <f>COUNTIF(Data!BT:BT,1)</f>
        <v>6</v>
      </c>
      <c r="E19" s="10">
        <f>COUNTIF(Data!BT:BT,2)</f>
        <v>0</v>
      </c>
      <c r="F19" s="12">
        <f>COUNTIF(Data!BT:BT,3)</f>
        <v>2</v>
      </c>
      <c r="G19" s="58" t="s">
        <v>34</v>
      </c>
      <c r="H19" s="59"/>
      <c r="I19" s="59"/>
      <c r="J19" s="59"/>
      <c r="K19" s="59"/>
      <c r="L19" s="59"/>
      <c r="M19" s="59"/>
      <c r="N19" s="59"/>
      <c r="O19" s="60"/>
    </row>
    <row r="20" spans="3:15" ht="23.4" customHeight="1" thickBot="1" x14ac:dyDescent="0.3">
      <c r="C20" s="53"/>
      <c r="D20" s="10">
        <f>COUNTIF(Data!BU:BU,1)</f>
        <v>0</v>
      </c>
      <c r="E20" s="10">
        <f>COUNTIF(Data!BU:BU,2)</f>
        <v>3</v>
      </c>
      <c r="F20" s="12">
        <f>COUNTIF(Data!BU:BU,3)</f>
        <v>2</v>
      </c>
      <c r="G20" s="58" t="s">
        <v>35</v>
      </c>
      <c r="H20" s="59"/>
      <c r="I20" s="59"/>
      <c r="J20" s="59"/>
      <c r="K20" s="59"/>
      <c r="L20" s="59"/>
      <c r="M20" s="59"/>
      <c r="N20" s="59"/>
      <c r="O20" s="60"/>
    </row>
    <row r="21" spans="3:15" ht="23.4" customHeight="1" thickBot="1" x14ac:dyDescent="0.3">
      <c r="C21" s="54"/>
      <c r="D21" s="10">
        <f>COUNTIF(Data!BV:BV,1)</f>
        <v>0</v>
      </c>
      <c r="E21" s="10">
        <f>COUNTIF(Data!BV:BV,2)</f>
        <v>0</v>
      </c>
      <c r="F21" s="12">
        <f>COUNTIF(Data!BV:BV,3)</f>
        <v>4</v>
      </c>
      <c r="G21" s="61" t="s">
        <v>36</v>
      </c>
      <c r="H21" s="62"/>
      <c r="I21" s="62"/>
      <c r="J21" s="62"/>
      <c r="K21" s="62"/>
      <c r="L21" s="62"/>
      <c r="M21" s="62"/>
      <c r="N21" s="62"/>
      <c r="O21" s="63"/>
    </row>
  </sheetData>
  <mergeCells count="8">
    <mergeCell ref="C8:C10"/>
    <mergeCell ref="C11:C14"/>
    <mergeCell ref="C15:C17"/>
    <mergeCell ref="C18:C21"/>
    <mergeCell ref="G18:O18"/>
    <mergeCell ref="G19:O19"/>
    <mergeCell ref="G20:O20"/>
    <mergeCell ref="G21:O21"/>
  </mergeCells>
  <conditionalFormatting sqref="D8:O21">
    <cfRule type="cellIs" dxfId="68" priority="3" operator="equal">
      <formula>0</formula>
    </cfRule>
  </conditionalFormatting>
  <conditionalFormatting sqref="S10:S1048576">
    <cfRule type="containsText" dxfId="67" priority="1" operator="containsText" text="N">
      <formula>NOT(ISERROR(SEARCH("N",S10)))</formula>
    </cfRule>
    <cfRule type="containsText" dxfId="66" priority="2" operator="containsText" text="Y">
      <formula>NOT(ISERROR(SEARCH("Y",S10)))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98485-7E55-4195-B281-E7511F034319}">
  <sheetPr codeName="Sheet3"/>
  <dimension ref="C2:E429"/>
  <sheetViews>
    <sheetView zoomScale="85" zoomScaleNormal="85" workbookViewId="0">
      <selection activeCell="D4" sqref="D4"/>
    </sheetView>
  </sheetViews>
  <sheetFormatPr defaultRowHeight="15" x14ac:dyDescent="0.25"/>
  <cols>
    <col min="1" max="2" width="8.88671875" style="25"/>
    <col min="3" max="3" width="64" style="25" customWidth="1"/>
    <col min="4" max="4" width="17.6640625" style="42" customWidth="1"/>
    <col min="5" max="5" width="59.44140625" style="43" customWidth="1"/>
    <col min="6" max="6" width="10" style="25" bestFit="1" customWidth="1"/>
    <col min="7" max="16384" width="8.88671875" style="25"/>
  </cols>
  <sheetData>
    <row r="2" spans="3:5" ht="15.6" thickBot="1" x14ac:dyDescent="0.3"/>
    <row r="3" spans="3:5" ht="18" thickBot="1" x14ac:dyDescent="0.3">
      <c r="C3" s="26" t="s">
        <v>893</v>
      </c>
      <c r="D3" s="44" t="s">
        <v>894</v>
      </c>
      <c r="E3" s="44" t="s">
        <v>895</v>
      </c>
    </row>
    <row r="4" spans="3:5" ht="52.8" customHeight="1" x14ac:dyDescent="0.25">
      <c r="C4" s="24" t="s">
        <v>896</v>
      </c>
      <c r="D4" s="45" t="str" cm="1">
        <f t="array" ref="D4">IF(INDEX(Data!CD2:CD1048576,MATCH(TRUE,Data!CD2:CD1048576&lt;&gt;"",0))=1,"Short-term (next 12 months)",
IF(INDEX(Data!CD2:CD1048576,MATCH(TRUE,Data!CD2:CD1048576&lt;&gt;"",0))=2,"Mid-term (next 12-24 months)",
IF(INDEX(Data!CD2:CD1048576,MATCH(TRUE,Data!CD2:CD1048576&lt;&gt;"",0))=3,"Long-term (24 months and beyond)")))</f>
        <v>Short-term (next 12 months)</v>
      </c>
      <c r="E4" s="46" t="str" cm="1">
        <f t="array" ref="E4">INDEX(Data!CN2:CN1048576,MATCH(TRUE,Data!CN2:CN1048576&lt;&gt;"",0))</f>
        <v>21</v>
      </c>
    </row>
    <row r="5" spans="3:5" ht="40.049999999999997" customHeight="1" x14ac:dyDescent="0.25">
      <c r="C5" s="24" t="s">
        <v>897</v>
      </c>
      <c r="D5" s="45" t="str" cm="1">
        <f t="array" ref="D5">IF(INDEX(Data!CE2:CE1048576,MATCH(TRUE,Data!CE2:CE1048576&lt;&gt;"",0))=1,"Short-term (next 12 months)",
IF(INDEX(Data!CE2:CE1048576,MATCH(TRUE,Data!CE2:CE1048576&lt;&gt;"",0))=2,"Mid-term (next 12-24 months)",
IF(INDEX(Data!CE2:CE1048576,MATCH(TRUE,Data!CE2:CE1048576&lt;&gt;"",0))=3,"Long-term (24 months and beyond)")))</f>
        <v>Short-term (next 12 months)</v>
      </c>
      <c r="E5" s="47" t="str" cm="1">
        <f t="array" ref="E5">INDEX(Data!CO2:CO1048576,MATCH(TRUE,Data!CO2:CO1048576&lt;&gt;"",0))</f>
        <v>21</v>
      </c>
    </row>
    <row r="6" spans="3:5" ht="40.049999999999997" customHeight="1" x14ac:dyDescent="0.25">
      <c r="C6" s="24" t="s">
        <v>898</v>
      </c>
      <c r="D6" s="45" t="str" cm="1">
        <f t="array" ref="D6">IF(INDEX(Data!CF2:CF1048576,MATCH(TRUE,Data!CF2:CF1048576&lt;&gt;"",0))=1,"Short-term (next 12 months)",
IF(INDEX(Data!CF2:CF1048576,MATCH(TRUE,Data!CF2:CF1048576&lt;&gt;"",0))=2,"Mid-term (next 12-24 months)",
IF(INDEX(Data!CF2:CF1048576,MATCH(TRUE,Data!CF2:CF1048576&lt;&gt;"",0))=3,"Long-term (24 months and beyond)")))</f>
        <v>Short-term (next 12 months)</v>
      </c>
      <c r="E6" s="47" t="str" cm="1">
        <f t="array" ref="E6">INDEX(Data!CP2:CP1048576,MATCH(TRUE,Data!CP2:CP1048576&lt;&gt;"",0))</f>
        <v>21</v>
      </c>
    </row>
    <row r="7" spans="3:5" ht="28.8" customHeight="1" x14ac:dyDescent="0.25">
      <c r="C7" s="24" t="s">
        <v>899</v>
      </c>
      <c r="D7" s="45" t="str" cm="1">
        <f t="array" ref="D7">IF(INDEX(Data!CG2:CG1048576,MATCH(TRUE,Data!CG2:CG1048576&lt;&gt;"",0))=1,"Short-term (next 12 months)",
IF(INDEX(Data!CG2:CG1048576,MATCH(TRUE,Data!CG2:CG1048576&lt;&gt;"",0))=2,"Mid-term (next 12-24 months)",
IF(INDEX(Data!CG2:CG1048576,MATCH(TRUE,Data!CG2:CG1048576&lt;&gt;"",0))=3,"Long-term (24 months and beyond)")))</f>
        <v>Short-term (next 12 months)</v>
      </c>
      <c r="E7" s="47" t="str" cm="1">
        <f t="array" ref="E7">INDEX(Data!CQ2:CQ1048576,MATCH(TRUE,Data!CQ2:CQ1048576&lt;&gt;"",0))</f>
        <v>21</v>
      </c>
    </row>
    <row r="8" spans="3:5" ht="40.049999999999997" customHeight="1" x14ac:dyDescent="0.25">
      <c r="C8" s="24" t="s">
        <v>900</v>
      </c>
      <c r="D8" s="45" t="str" cm="1">
        <f t="array" ref="D8">IF(INDEX(Data!CH2:CH1048576,MATCH(TRUE,Data!CH2:CH1048576&lt;&gt;"",0))=1,"Short-term (next 12 months)",
IF(INDEX(Data!CH2:CH1048576,MATCH(TRUE,Data!CH2:CH1048576&lt;&gt;"",0))=2,"Mid-term (next 12-24 months)",
IF(INDEX(Data!CH2:CH1048576,MATCH(TRUE,Data!CH2:CH1048576&lt;&gt;"",0))=3,"Long-term (24 months and beyond)")))</f>
        <v>Short-term (next 12 months)</v>
      </c>
      <c r="E8" s="47" t="str" cm="1">
        <f t="array" ref="E8">INDEX(Data!CR2:CR1048576,MATCH(TRUE,Data!CR2:CR1048576&lt;&gt;"",0))</f>
        <v>OKAY</v>
      </c>
    </row>
    <row r="9" spans="3:5" ht="40.049999999999997" customHeight="1" x14ac:dyDescent="0.25">
      <c r="C9" s="24" t="s">
        <v>901</v>
      </c>
      <c r="D9" s="45" t="str" cm="1">
        <f t="array" ref="D9">IF(INDEX(Data!CI2:CI1048576,MATCH(TRUE,Data!CI2:CI1048576&lt;&gt;"",0))=1,"Short-term (next 12 months)",
IF(INDEX(Data!CI2:CI1048576,MATCH(TRUE,Data!CI2:CI1048576&lt;&gt;"",0))=2,"Mid-term (next 12-24 months)",
IF(INDEX(Data!CI2:CI1048576,MATCH(TRUE,Data!CI2:CI1048576&lt;&gt;"",0))=3,"Long-term (24 months and beyond)")))</f>
        <v>Short-term (next 12 months)</v>
      </c>
      <c r="E9" s="47" t="e" cm="1">
        <f t="array" ref="E9">INDEX(Data!CS2:CS1048576,MATCH(TRUE,Data!CS2:CS1048576&lt;&gt;"",0))</f>
        <v>#N/A</v>
      </c>
    </row>
    <row r="10" spans="3:5" ht="40.049999999999997" customHeight="1" x14ac:dyDescent="0.25">
      <c r="C10" s="24" t="s">
        <v>902</v>
      </c>
      <c r="D10" s="45" t="str" cm="1">
        <f t="array" ref="D10">IF(INDEX(Data!CJ2:CJ1048576,MATCH(TRUE,Data!CJ2:CJ1048576&lt;&gt;"",0))=1,"Short-term (next 12 months)",
IF(INDEX(Data!CJ2:CJ1048576,MATCH(TRUE,Data!CJ2:CJ1048576&lt;&gt;"",0))=2,"Mid-term (next 12-24 months)",
IF(INDEX(Data!CJ2:CJ1048576,MATCH(TRUE,Data!CJ2:CJ1048576&lt;&gt;"",0))=3,"Long-term (24 months and beyond)")))</f>
        <v>Short-term (next 12 months)</v>
      </c>
      <c r="E10" s="47" t="e" cm="1">
        <f t="array" ref="E10">INDEX(Data!CT2:CT1048576,MATCH(TRUE,Data!CT2:CT1048576&lt;&gt;"",0))</f>
        <v>#N/A</v>
      </c>
    </row>
    <row r="11" spans="3:5" ht="40.049999999999997" customHeight="1" x14ac:dyDescent="0.25">
      <c r="C11" s="24" t="s">
        <v>903</v>
      </c>
      <c r="D11" s="45" t="str" cm="1">
        <f t="array" ref="D11">IF(INDEX(Data!CK2:CK1048576,MATCH(TRUE,Data!CK2:CK1048576&lt;&gt;"",0))=1,"Short-term (next 12 months)",
IF(INDEX(Data!CK2:CK1048576,MATCH(TRUE,Data!CK2:CK1048576&lt;&gt;"",0))=2,"Mid-term (next 12-24 months)",
IF(INDEX(Data!CK2:CK1048576,MATCH(TRUE,Data!CK2:CK1048576&lt;&gt;"",0))=3,"Long-term (24 months and beyond)")))</f>
        <v>Short-term (next 12 months)</v>
      </c>
      <c r="E11" s="47" t="str" cm="1">
        <f t="array" ref="E11">INDEX(Data!CU2:CU1048576,MATCH(TRUE,Data!CU2:CU1048576&lt;&gt;"",0))</f>
        <v>Added</v>
      </c>
    </row>
    <row r="12" spans="3:5" ht="40.049999999999997" customHeight="1" x14ac:dyDescent="0.25">
      <c r="C12" s="24" t="s">
        <v>903</v>
      </c>
      <c r="D12" s="45" t="str" cm="1">
        <f t="array" ref="D12">IF(INDEX(Data!CL2:CL1048576,MATCH(TRUE,Data!CL2:CL1048576&lt;&gt;"",0))=1,"Short-term (next 12 months)",
IF(INDEX(Data!CL2:CL1048576,MATCH(TRUE,Data!CL2:CL1048576&lt;&gt;"",0))=2,"Mid-term (next 12-24 months)",
IF(INDEX(Data!CL2:CL1048576,MATCH(TRUE,Data!CL2:CL1048576&lt;&gt;"",0))=3,"Long-term (24 months and beyond)")))</f>
        <v>Long-term (24 months and beyond)</v>
      </c>
      <c r="E12" s="47" t="str" cm="1">
        <f t="array" ref="E12">INDEX(Data!CV2:CV1048576,MATCH(TRUE,Data!CV2:CV1048576&lt;&gt;"",0))</f>
        <v>NO comment</v>
      </c>
    </row>
    <row r="13" spans="3:5" ht="40.049999999999997" customHeight="1" x14ac:dyDescent="0.25">
      <c r="C13" s="24" t="s">
        <v>903</v>
      </c>
      <c r="D13" s="45" t="str" cm="1">
        <f t="array" ref="D13">IF(INDEX(Data!CM2:CM1048576,MATCH(TRUE,Data!CM2:CM1048576&lt;&gt;"",0))=1,"Short-term (next 12 months)",
IF(INDEX(Data!CM2:CM1048576,MATCH(TRUE,Data!CM2:CM1048576&lt;&gt;"",0))=2,"Mid-term (next 12-24 months)",
IF(INDEX(Data!CM2:CM1048576,MATCH(TRUE,Data!CM2:CM1048576&lt;&gt;"",0))=3,"Long-term (24 months and beyond)")))</f>
        <v>Long-term (24 months and beyond)</v>
      </c>
      <c r="E13" s="47" t="str" cm="1">
        <f t="array" ref="E13">INDEX(Data!CW2:CW1048576,MATCH(TRUE,Data!CW2:CW1048576&lt;&gt;"",0))</f>
        <v>Test</v>
      </c>
    </row>
    <row r="18" spans="3:5" ht="15.6" thickBot="1" x14ac:dyDescent="0.3"/>
    <row r="19" spans="3:5" ht="18" thickBot="1" x14ac:dyDescent="0.3">
      <c r="C19" s="26" t="s">
        <v>904</v>
      </c>
      <c r="D19" s="44" t="s">
        <v>894</v>
      </c>
      <c r="E19" s="44" t="s">
        <v>895</v>
      </c>
    </row>
    <row r="20" spans="3:5" ht="45" x14ac:dyDescent="0.25">
      <c r="C20" s="24" t="s">
        <v>905</v>
      </c>
      <c r="D20" s="45" t="str" cm="1">
        <f t="array" ref="D20">IF(INDEX(Data!DA2:DA1048576,MATCH(TRUE,Data!DA2:DA1048576&lt;&gt;"",0))=1,"Short-term (next 12 months)",
IF(INDEX(Data!DA2:DA1048576,MATCH(TRUE,Data!DA2:DA1048576&lt;&gt;"",0))=2,"Mid-term (next 12-24 months)",
IF(INDEX(Data!DA2:DA1048576,MATCH(TRUE,Data!DA2:DA1048576&lt;&gt;"",0))=3,"Long-term (24 months and beyond)")))</f>
        <v>Short-term (next 12 months)</v>
      </c>
      <c r="E20" s="47" t="str" cm="1">
        <f t="array" ref="E20">INDEX(Data!DI2:DI1048576,MATCH(TRUE,Data!DI2:DI1048576&lt;&gt;"",0))</f>
        <v>21</v>
      </c>
    </row>
    <row r="21" spans="3:5" ht="45" x14ac:dyDescent="0.25">
      <c r="C21" s="24" t="s">
        <v>906</v>
      </c>
      <c r="D21" s="45" t="str" cm="1">
        <f t="array" ref="D21">IF(INDEX(Data!DB2:DB1048576,MATCH(TRUE,Data!DB2:DB1048576&lt;&gt;"",0))=1,"Short-term (next 12 months)",
IF(INDEX(Data!DB2:DB1048576,MATCH(TRUE,Data!DB2:DB1048576&lt;&gt;"",0))=2,"Mid-term (next 12-24 months)",
IF(INDEX(Data!DB2:DB1048576,MATCH(TRUE,Data!DB2:DB1048576&lt;&gt;"",0))=3,"Long-term (24 months and beyond)")))</f>
        <v>Short-term (next 12 months)</v>
      </c>
      <c r="E21" s="47" t="str" cm="1">
        <f t="array" ref="E21">INDEX(Data!DJ2:DJ1048576,MATCH(TRUE,Data!DJ2:DJ1048576&lt;&gt;"",0))</f>
        <v>21</v>
      </c>
    </row>
    <row r="22" spans="3:5" ht="30" x14ac:dyDescent="0.25">
      <c r="C22" s="24" t="s">
        <v>907</v>
      </c>
      <c r="D22" s="45" t="str" cm="1">
        <f t="array" ref="D22">IF(INDEX(Data!DC2:DC1048576,MATCH(TRUE,Data!DC2:DC1048576&lt;&gt;"",0))=1,"Short-term (next 12 months)",
IF(INDEX(Data!DC2:DC1048576,MATCH(TRUE,Data!DC2:DC1048576&lt;&gt;"",0))=2,"Mid-term (next 12-24 months)",
IF(INDEX(Data!DC2:DC1048576,MATCH(TRUE,Data!DC2:DC1048576&lt;&gt;"",0))=3,"Long-term (24 months and beyond)")))</f>
        <v>Mid-term (next 12-24 months)</v>
      </c>
      <c r="E22" s="47" t="str" cm="1">
        <f t="array" ref="E22">INDEX(Data!DK2:DK1048576,MATCH(TRUE,Data!DK2:DK1048576&lt;&gt;"",0))</f>
        <v>Notes</v>
      </c>
    </row>
    <row r="23" spans="3:5" ht="30" x14ac:dyDescent="0.25">
      <c r="C23" s="24" t="s">
        <v>908</v>
      </c>
      <c r="D23" s="45" t="str" cm="1">
        <f t="array" ref="D23">IF(INDEX(Data!DD2:DD1048576,MATCH(TRUE,Data!DD2:DD1048576&lt;&gt;"",0))=1,"Short-term (next 12 months)",
IF(INDEX(Data!DD2:DD1048576,MATCH(TRUE,Data!DD2:DD1048576&lt;&gt;"",0))=2,"Mid-term (next 12-24 months)",
IF(INDEX(Data!DD2:DD1048576,MATCH(TRUE,Data!DD2:DD1048576&lt;&gt;"",0))=3,"Long-term (24 months and beyond)","")))</f>
        <v>Short-term (next 12 months)</v>
      </c>
      <c r="E23" s="47" t="str" cm="1">
        <f t="array" ref="E23">INDEX(Data!DL2:DL1048576,MATCH(TRUE,Data!DL2:DL1048576&lt;&gt;"",0))</f>
        <v>Comment</v>
      </c>
    </row>
    <row r="24" spans="3:5" ht="45" x14ac:dyDescent="0.25">
      <c r="C24" s="24" t="s">
        <v>909</v>
      </c>
      <c r="D24" s="45" t="str" cm="1">
        <f t="array" ref="D24">IF(INDEX(Data!DE2:DE1048576,MATCH(TRUE,Data!DE2:DE1048576&lt;&gt;"",0))=1,"Short-term (next 12 months)",
IF(INDEX(Data!DE2:DE1048576,MATCH(TRUE,Data!DE2:DE1048576&lt;&gt;"",0))=2,"Mid-term (next 12-24 months)",
IF(INDEX(Data!DE2:DE1048576,MATCH(TRUE,Data!DE2:DE1048576&lt;&gt;"",0))=3,"Long-term (24 months and beyond)","")))</f>
        <v>Long-term (24 months and beyond)</v>
      </c>
      <c r="E24" s="47" t="str" cm="1">
        <f t="array" ref="E24">INDEX(Data!DM2:DM1048576,MATCH(TRUE,Data!DM2:DM1048576&lt;&gt;"",0))</f>
        <v>Notes</v>
      </c>
    </row>
    <row r="25" spans="3:5" ht="45" x14ac:dyDescent="0.25">
      <c r="C25" s="24" t="s">
        <v>903</v>
      </c>
      <c r="D25" s="45" t="str" cm="1">
        <f t="array" ref="D25">IF(INDEX(Data!DF2:DF1048576,MATCH(TRUE,Data!DF2:DF1048576&lt;&gt;"",0))=1,"Short-term (next 12 months)",
IF(INDEX(Data!DF2:DF1048576,MATCH(TRUE,Data!DF2:DF1048576&lt;&gt;"",0))=2,"Mid-term (next 12-24 months)",
IF(INDEX(Data!DF2:DF1048576,MATCH(TRUE,Data!DF2:DF1048576&lt;&gt;"",0))=3,"Long-term (24 months and beyond)","")))</f>
        <v>Long-term (24 months and beyond)</v>
      </c>
      <c r="E25" s="47" t="str" cm="1">
        <f t="array" ref="E25">INDEX(Data!DN2:DN1048576,MATCH(TRUE,Data!DN2:DN1048576&lt;&gt;"",0))</f>
        <v>Test 2</v>
      </c>
    </row>
    <row r="26" spans="3:5" ht="30" x14ac:dyDescent="0.25">
      <c r="C26" s="24" t="s">
        <v>903</v>
      </c>
      <c r="D26" s="45" t="str" cm="1">
        <f t="array" ref="D26">IF(INDEX(Data!DG2:DG1048576,MATCH(TRUE,Data!DG2:DG1048576&lt;&gt;"",0))=1,"Short-term (next 12 months)",
IF(INDEX(Data!DG2:DG1048576,MATCH(TRUE,Data!DG2:DG1048576&lt;&gt;"",0))=2,"Mid-term (next 12-24 months)",
IF(INDEX(Data!DG2:DG1048576,MATCH(TRUE,Data!DG2:DG1048576&lt;&gt;"",0))=3,"Long-term (24 months and beyond)","")))</f>
        <v>Short-term (next 12 months)</v>
      </c>
      <c r="E26" s="47" t="str" cm="1">
        <f t="array" ref="E26">INDEX(Data!DO2:DO1048576,MATCH(TRUE,Data!DO2:DO1048576&lt;&gt;"",0))</f>
        <v>Notes</v>
      </c>
    </row>
    <row r="27" spans="3:5" ht="30" x14ac:dyDescent="0.25">
      <c r="C27" s="24" t="s">
        <v>903</v>
      </c>
      <c r="D27" s="45" t="str" cm="1">
        <f t="array" ref="D27">IF(INDEX(Data!DH2:DH1048576,MATCH(TRUE,Data!DH2:DH1048576&lt;&gt;"",0))=1,"Short-term (next 12 months)",
IF(INDEX(Data!DH2:DH1048576,MATCH(TRUE,Data!DH2:DH1048576&lt;&gt;"",0))=2,"Mid-term (next 12-24 months)",
IF(INDEX(Data!DH2:DH1048576,MATCH(TRUE,Data!DH2:DH1048576&lt;&gt;"",0))=3,"Long-term (24 months and beyond)","")))</f>
        <v>Mid-term (next 12-24 months)</v>
      </c>
      <c r="E27" s="47" t="str" cm="1">
        <f t="array" ref="E27">INDEX(Data!DP2:DP1048576,MATCH(TRUE,Data!DP2:DP1048576&lt;&gt;"",0))</f>
        <v>Blank</v>
      </c>
    </row>
    <row r="31" spans="3:5" ht="15.6" thickBot="1" x14ac:dyDescent="0.3"/>
    <row r="32" spans="3:5" ht="35.4" thickBot="1" x14ac:dyDescent="0.3">
      <c r="C32" s="26" t="s">
        <v>910</v>
      </c>
      <c r="D32" s="44" t="s">
        <v>894</v>
      </c>
      <c r="E32" s="44" t="s">
        <v>895</v>
      </c>
    </row>
    <row r="33" spans="3:5" ht="30" x14ac:dyDescent="0.25">
      <c r="C33" s="24" t="s">
        <v>911</v>
      </c>
      <c r="D33" s="45" t="str" cm="1">
        <f t="array" ref="D33">IF(INDEX(Data!DT2:DT1048576,MATCH(TRUE,Data!DT2:DT1048576&lt;&gt;"",0))=1,"Short-term (next 12 months)",
IF(INDEX(Data!DT2:DT1048576,MATCH(TRUE,Data!DT2:DT1048576&lt;&gt;"",0))=2,"Mid-term (next 12-24 months)",
IF(INDEX(Data!DT2:DT1048576,MATCH(TRUE,Data!DT2:DT1048576&lt;&gt;"",0))=3,"Long-term (24 months and beyond)","")))</f>
        <v>Mid-term (next 12-24 months)</v>
      </c>
      <c r="E33" s="47" t="str" cm="1">
        <f t="array" ref="E33">INDEX(Data!ED2:ED1048576,MATCH(TRUE,Data!ED2:ED1048576&lt;&gt;"",0))</f>
        <v>sa</v>
      </c>
    </row>
    <row r="34" spans="3:5" ht="45" x14ac:dyDescent="0.25">
      <c r="C34" s="24" t="s">
        <v>912</v>
      </c>
      <c r="D34" s="45" t="str" cm="1">
        <f t="array" ref="D34">IF(INDEX(Data!DU2:DU1048576,MATCH(TRUE,Data!DU2:DU1048576&lt;&gt;"",0))=1,"Short-term (next 12 months)",
IF(INDEX(Data!DU2:DU1048576,MATCH(TRUE,Data!DU2:DU1048576&lt;&gt;"",0))=2,"Mid-term (next 12-24 months)",
IF(INDEX(Data!DU2:DU1048576,MATCH(TRUE,Data!DU2:DU1048576&lt;&gt;"",0))=3,"Long-term (24 months and beyond)","")))</f>
        <v>Mid-term (next 12-24 months)</v>
      </c>
      <c r="E34" s="47" t="str" cm="1">
        <f t="array" ref="E34">INDEX(Data!EE2:EE1048576,MATCH(TRUE,Data!EE2:EE1048576&lt;&gt;"",0))</f>
        <v>21</v>
      </c>
    </row>
    <row r="35" spans="3:5" ht="45" x14ac:dyDescent="0.25">
      <c r="C35" s="24" t="s">
        <v>913</v>
      </c>
      <c r="D35" s="45" t="str" cm="1">
        <f t="array" ref="D35">IF(INDEX(Data!DV2:DV1048576,MATCH(TRUE,Data!DV2:DV1048576&lt;&gt;"",0))=1,"Short-term (next 12 months)",
IF(INDEX(Data!DV2:DV1048576,MATCH(TRUE,Data!DV2:DV1048576&lt;&gt;"",0))=2,"Mid-term (next 12-24 months)",
IF(INDEX(Data!DV2:DV1048576,MATCH(TRUE,Data!DV2:DV1048576&lt;&gt;"",0))=3,"Long-term (24 months and beyond)","")))</f>
        <v>Long-term (24 months and beyond)</v>
      </c>
      <c r="E35" s="47" t="str" cm="1">
        <f t="array" ref="E35">INDEX(Data!EF2:EF1048576,MATCH(TRUE,Data!EF2:EF1048576&lt;&gt;"",0))</f>
        <v>qwerty</v>
      </c>
    </row>
    <row r="36" spans="3:5" ht="30" x14ac:dyDescent="0.25">
      <c r="C36" s="24" t="s">
        <v>914</v>
      </c>
      <c r="D36" s="45" t="str" cm="1">
        <f t="array" ref="D36">IF(INDEX(Data!DW2:DW1048576,MATCH(TRUE,Data!DW2:DW1048576&lt;&gt;"",0))=1,"Short-term (next 12 months)",
IF(INDEX(Data!DW2:DW1048576,MATCH(TRUE,Data!DW2:DW1048576&lt;&gt;"",0))=2,"Mid-term (next 12-24 months)",
IF(INDEX(Data!DW2:DW1048576,MATCH(TRUE,Data!DW2:DW1048576&lt;&gt;"",0))=3,"Long-term (24 months and beyond)","")))</f>
        <v>Mid-term (next 12-24 months)</v>
      </c>
      <c r="E36" s="47" t="str" cm="1">
        <f t="array" ref="E36">INDEX(Data!EG2:EG1048576,MATCH(TRUE,Data!EG2:EG1048576&lt;&gt;"",0))</f>
        <v>21</v>
      </c>
    </row>
    <row r="37" spans="3:5" x14ac:dyDescent="0.25">
      <c r="C37" s="24" t="s">
        <v>915</v>
      </c>
      <c r="D37" s="45" t="e" cm="1">
        <f t="array" ref="D37">IF(INDEX(Data!DX2:DX1048576,MATCH(TRUE,Data!DX2:DX1048576&lt;&gt;"",0))=1,"Short-term (next 12 months)",
IF(INDEX(Data!DX2:DX1048576,MATCH(TRUE,Data!DX2:DX1048576&lt;&gt;"",0))=2,"Mid-term (next 12-24 months)",
IF(INDEX(Data!DX2:DX1048576,MATCH(TRUE,Data!DX2:DX1048576&lt;&gt;"",0))=3,"Long-term (24 months and beyond)","")))</f>
        <v>#N/A</v>
      </c>
      <c r="E37" s="47" t="str" cm="1">
        <f t="array" ref="E37">INDEX(Data!EH2:EH1048576,MATCH(TRUE,Data!EH2:EH1048576&lt;&gt;"",0))</f>
        <v>WASD</v>
      </c>
    </row>
    <row r="38" spans="3:5" x14ac:dyDescent="0.25">
      <c r="C38" s="24" t="s">
        <v>916</v>
      </c>
      <c r="D38" s="45" t="e" cm="1">
        <f t="array" ref="D38">IF(INDEX(Data!DY2:DY1048576,MATCH(TRUE,Data!DY2:DY1048576&lt;&gt;"",0))=1,"Short-term (next 12 months)",
IF(INDEX(Data!DY2:DY1048576,MATCH(TRUE,Data!DY2:DY1048576&lt;&gt;"",0))=2,"Mid-term (next 12-24 months)",
IF(INDEX(Data!DY2:DY1048576,MATCH(TRUE,Data!DY2:DY1048576&lt;&gt;"",0))=3,"Long-term (24 months and beyond)","")))</f>
        <v>#N/A</v>
      </c>
      <c r="E38" s="47" t="e" cm="1">
        <f t="array" ref="E38">INDEX(Data!EI2:EI1048576,MATCH(TRUE,Data!EI2:EI1048576&lt;&gt;"",0))</f>
        <v>#N/A</v>
      </c>
    </row>
    <row r="39" spans="3:5" ht="45" x14ac:dyDescent="0.25">
      <c r="C39" s="24" t="s">
        <v>917</v>
      </c>
      <c r="D39" s="45" t="str" cm="1">
        <f t="array" ref="D39">IF(INDEX(Data!DZ2:DZ1048576,MATCH(TRUE,Data!DZ2:DZ1048576&lt;&gt;"",0))=1,"Short-term (next 12 months)",
IF(INDEX(Data!DZ2:DZ1048576,MATCH(TRUE,Data!DZ2:DZ1048576&lt;&gt;"",0))=2,"Mid-term (next 12-24 months)",
IF(INDEX(Data!DZ2:DZ1048576,MATCH(TRUE,Data!DZ2:DZ1048576&lt;&gt;"",0))=3,"Long-term (24 months and beyond)","")))</f>
        <v>Long-term (24 months and beyond)</v>
      </c>
      <c r="E39" s="47" t="e" cm="1">
        <f t="array" ref="E39">INDEX(Data!EJ2:EJ1048576,MATCH(TRUE,Data!EJ2:EJ1048576&lt;&gt;"",0))</f>
        <v>#N/A</v>
      </c>
    </row>
    <row r="40" spans="3:5" x14ac:dyDescent="0.25">
      <c r="C40" s="24" t="s">
        <v>903</v>
      </c>
      <c r="D40" s="45" t="e" cm="1">
        <f t="array" ref="D40">IF(INDEX(Data!EA2:EA1048576,MATCH(TRUE,Data!EA2:EA1048576&lt;&gt;"",0))=1,"Short-term (next 12 months)",
IF(INDEX(Data!EA2:EA1048576,MATCH(TRUE,Data!EA2:EA1048576&lt;&gt;"",0))=2,"Mid-term (next 12-24 months)",
IF(INDEX(Data!EA2:EA1048576,MATCH(TRUE,Data!EA2:EA1048576&lt;&gt;"",0))=3,"Long-term (24 months and beyond)","")))</f>
        <v>#N/A</v>
      </c>
      <c r="E40" s="47" t="str" cm="1">
        <f t="array" ref="E40">INDEX(Data!EK2:EK1048576,MATCH(TRUE,Data!EK2:EK1048576&lt;&gt;"",0))</f>
        <v>NONE</v>
      </c>
    </row>
    <row r="41" spans="3:5" ht="30" x14ac:dyDescent="0.25">
      <c r="C41" s="24" t="s">
        <v>903</v>
      </c>
      <c r="D41" s="45" t="str" cm="1">
        <f t="array" ref="D41">IF(INDEX(Data!EB2:EB1048576,MATCH(TRUE,Data!EB2:EB1048576&lt;&gt;"",0))=1,"Short-term (next 12 months)",
IF(INDEX(Data!EB2:EB1048576,MATCH(TRUE,Data!EB2:EB1048576&lt;&gt;"",0))=2,"Mid-term (next 12-24 months)",
IF(INDEX(Data!EB2:EB1048576,MATCH(TRUE,Data!EB2:EB1048576&lt;&gt;"",0))=3,"Long-term (24 months and beyond)","")))</f>
        <v>Short-term (next 12 months)</v>
      </c>
      <c r="E41" s="47" t="e" cm="1">
        <f t="array" ref="E41">INDEX(Data!EL2:EL1048576,MATCH(TRUE,Data!EL2:EL1048576&lt;&gt;"",0))</f>
        <v>#N/A</v>
      </c>
    </row>
    <row r="42" spans="3:5" ht="45" x14ac:dyDescent="0.25">
      <c r="C42" s="24" t="s">
        <v>903</v>
      </c>
      <c r="D42" s="45" t="str" cm="1">
        <f t="array" ref="D42">IF(INDEX(Data!EC2:EC1048576,MATCH(TRUE,Data!EC2:EC1048576&lt;&gt;"",0))=1,"Short-term (next 12 months)",
IF(INDEX(Data!EC2:EC1048576,MATCH(TRUE,Data!EC2:EC1048576&lt;&gt;"",0))=2,"Mid-term (next 12-24 months)",
IF(INDEX(Data!EC2:EC1048576,MATCH(TRUE,Data!EC2:EC1048576&lt;&gt;"",0))=3,"Long-term (24 months and beyond)","")))</f>
        <v>Long-term (24 months and beyond)</v>
      </c>
      <c r="E42" s="47" t="e" cm="1">
        <f t="array" ref="E42">INDEX(Data!EM2:EM1048576,MATCH(TRUE,Data!EM2:EM1048576&lt;&gt;"",0))</f>
        <v>#N/A</v>
      </c>
    </row>
    <row r="46" spans="3:5" ht="15.6" thickBot="1" x14ac:dyDescent="0.3"/>
    <row r="47" spans="3:5" ht="35.4" thickBot="1" x14ac:dyDescent="0.3">
      <c r="C47" s="26" t="s">
        <v>918</v>
      </c>
      <c r="D47" s="44" t="s">
        <v>894</v>
      </c>
      <c r="E47" s="44" t="s">
        <v>895</v>
      </c>
    </row>
    <row r="48" spans="3:5" ht="30" x14ac:dyDescent="0.25">
      <c r="C48" s="24" t="s">
        <v>919</v>
      </c>
      <c r="D48" s="45" t="str" cm="1">
        <f t="array" ref="D48">IF(INDEX(Data!EQ2:EQ1048576,MATCH(TRUE,Data!EQ2:EQ1048576&lt;&gt;"",0))=1,"Short-term (next 12 months)",
IF(INDEX(Data!EQ2:EQ1048576,MATCH(TRUE,Data!EQ2:EQ1048576&lt;&gt;"",0))=2,"Mid-term (next 12-24 months)",
IF(INDEX(Data!EQ2:EQ1048576,MATCH(TRUE,Data!EQ2:EQ1048576&lt;&gt;"",0))=3,"Long-term (24 months and beyond)","")))</f>
        <v>Mid-term (next 12-24 months)</v>
      </c>
      <c r="E48" s="47" t="str" cm="1">
        <f t="array" ref="E48">INDEX(Data!FA2:FA1048576,MATCH(TRUE,Data!FA2:FA1048576&lt;&gt;"",0))</f>
        <v>SURE TO DO</v>
      </c>
    </row>
    <row r="49" spans="3:5" ht="45" x14ac:dyDescent="0.25">
      <c r="C49" s="24" t="s">
        <v>920</v>
      </c>
      <c r="D49" s="45" t="str" cm="1">
        <f t="array" ref="D49">IF(INDEX(Data!ER2:ER1048576,MATCH(TRUE,Data!ER2:ER1048576&lt;&gt;"",0))=1,"Short-term (next 12 months)",
IF(INDEX(Data!ER2:ER1048576,MATCH(TRUE,Data!ER2:ER1048576&lt;&gt;"",0))=2,"Mid-term (next 12-24 months)",
IF(INDEX(Data!ER2:ER1048576,MATCH(TRUE,Data!ER2:ER1048576&lt;&gt;"",0))=3,"Long-term (24 months and beyond)","")))</f>
        <v>Mid-term (next 12-24 months)</v>
      </c>
      <c r="E49" s="47" t="str" cm="1">
        <f t="array" ref="E49">INDEX(Data!FB2:FB1048576,MATCH(TRUE,Data!FB2:FB1048576&lt;&gt;"",0))</f>
        <v>SURE TO DO</v>
      </c>
    </row>
    <row r="50" spans="3:5" ht="30" x14ac:dyDescent="0.25">
      <c r="C50" s="24" t="s">
        <v>921</v>
      </c>
      <c r="D50" s="45" t="str" cm="1">
        <f t="array" ref="D50">IF(INDEX(Data!ES2:ES1048576,MATCH(TRUE,Data!ES2:ES1048576&lt;&gt;"",0))=1,"Short-term (next 12 months)",
IF(INDEX(Data!ES2:ES1048576,MATCH(TRUE,Data!ES2:ES1048576&lt;&gt;"",0))=2,"Mid-term (next 12-24 months)",
IF(INDEX(Data!ES2:ES1048576,MATCH(TRUE,Data!ES2:ES1048576&lt;&gt;"",0))=3,"Long-term (24 months and beyond)","")))</f>
        <v>Mid-term (next 12-24 months)</v>
      </c>
      <c r="E50" s="47" t="str" cm="1">
        <f t="array" ref="E50">INDEX(Data!FC2:FC1048576,MATCH(TRUE,Data!FC2:FC1048576&lt;&gt;"",0))</f>
        <v>SURE TO DO</v>
      </c>
    </row>
    <row r="51" spans="3:5" ht="30" x14ac:dyDescent="0.25">
      <c r="C51" s="24" t="s">
        <v>922</v>
      </c>
      <c r="D51" s="45" t="str" cm="1">
        <f t="array" ref="D51">IF(INDEX(Data!ET2:ET1048576,MATCH(TRUE,Data!ET2:ET1048576&lt;&gt;"",0))=1,"Short-term (next 12 months)",
IF(INDEX(Data!ET2:ET1048576,MATCH(TRUE,Data!ET2:ET1048576&lt;&gt;"",0))=2,"Mid-term (next 12-24 months)",
IF(INDEX(Data!ET2:ET1048576,MATCH(TRUE,Data!ET2:ET1048576&lt;&gt;"",0))=3,"Long-term (24 months and beyond)","")))</f>
        <v>Mid-term (next 12-24 months)</v>
      </c>
      <c r="E51" s="47" t="str" cm="1">
        <f t="array" ref="E51">INDEX(Data!FD2:FD1048576,MATCH(TRUE,Data!FD2:FD1048576&lt;&gt;"",0))</f>
        <v>SURE TO DO</v>
      </c>
    </row>
    <row r="52" spans="3:5" ht="30" x14ac:dyDescent="0.25">
      <c r="C52" s="24" t="s">
        <v>923</v>
      </c>
      <c r="D52" s="45" t="str" cm="1">
        <f t="array" ref="D52">IF(INDEX(Data!EU2:EU1048576,MATCH(TRUE,Data!EU2:EU1048576&lt;&gt;"",0))=1,"Short-term (next 12 months)",
IF(INDEX(Data!EU2:EU1048576,MATCH(TRUE,Data!EU2:EU1048576&lt;&gt;"",0))=2,"Mid-term (next 12-24 months)",
IF(INDEX(Data!EU2:EU1048576,MATCH(TRUE,Data!EU2:EU1048576&lt;&gt;"",0))=3,"Long-term (24 months and beyond)","")))</f>
        <v>Mid-term (next 12-24 months)</v>
      </c>
      <c r="E52" s="47" t="str" cm="1">
        <f t="array" ref="E52">INDEX(Data!FE2:FE1048576,MATCH(TRUE,Data!FE2:FE1048576&lt;&gt;"",0))</f>
        <v>SURE TO DO</v>
      </c>
    </row>
    <row r="53" spans="3:5" ht="30" x14ac:dyDescent="0.25">
      <c r="C53" s="24" t="s">
        <v>924</v>
      </c>
      <c r="D53" s="45" t="str" cm="1">
        <f t="array" ref="D53">IF(INDEX(Data!EV2:EV1048576,MATCH(TRUE,Data!EV2:EV1048576&lt;&gt;"",0))=1,"Short-term (next 12 months)",
IF(INDEX(Data!EV2:EV1048576,MATCH(TRUE,Data!EV2:EV1048576&lt;&gt;"",0))=2,"Mid-term (next 12-24 months)",
IF(INDEX(Data!EV2:EV1048576,MATCH(TRUE,Data!EV2:EV1048576&lt;&gt;"",0))=3,"Long-term (24 months and beyond)","")))</f>
        <v>Mid-term (next 12-24 months)</v>
      </c>
      <c r="E53" s="47" t="str" cm="1">
        <f t="array" ref="E53">INDEX(Data!FF2:FF1048576,MATCH(TRUE,Data!FF2:FF1048576&lt;&gt;"",0))</f>
        <v>SURE TO DO</v>
      </c>
    </row>
    <row r="54" spans="3:5" ht="30" x14ac:dyDescent="0.25">
      <c r="C54" s="24" t="s">
        <v>925</v>
      </c>
      <c r="D54" s="45" t="str" cm="1">
        <f t="array" ref="D54">IF(INDEX(Data!EW2:EW1048576,MATCH(TRUE,Data!EW2:EW1048576&lt;&gt;"",0))=1,"Short-term (next 12 months)",
IF(INDEX(Data!EW2:EW1048576,MATCH(TRUE,Data!EW2:EW1048576&lt;&gt;"",0))=2,"Mid-term (next 12-24 months)",
IF(INDEX(Data!EW2:EW1048576,MATCH(TRUE,Data!EW2:EW1048576&lt;&gt;"",0))=3,"Long-term (24 months and beyond)","")))</f>
        <v>Mid-term (next 12-24 months)</v>
      </c>
      <c r="E54" s="47" t="str" cm="1">
        <f t="array" ref="E54">INDEX(Data!FG2:FG1048576,MATCH(TRUE,Data!FG2:FG1048576&lt;&gt;"",0))</f>
        <v>SURE TO DO</v>
      </c>
    </row>
    <row r="55" spans="3:5" x14ac:dyDescent="0.25">
      <c r="C55" s="24" t="s">
        <v>903</v>
      </c>
      <c r="D55" s="45" t="e" cm="1">
        <f t="array" ref="D55">IF(INDEX(Data!EX2:EX1048576,MATCH(TRUE,Data!EX2:EX1048576&lt;&gt;"",0))=1,"Short-term (next 12 months)",
IF(INDEX(Data!EX2:EX1048576,MATCH(TRUE,Data!EX2:EX1048576&lt;&gt;"",0))=2,"Mid-term (next 12-24 months)",
IF(INDEX(Data!EX2:EX1048576,MATCH(TRUE,Data!EX2:EX1048576&lt;&gt;"",0))=3,"Long-term (24 months and beyond)","")))</f>
        <v>#N/A</v>
      </c>
      <c r="E55" s="47" t="e" cm="1">
        <f t="array" ref="E55">INDEX(Data!FH2:FH1048576,MATCH(TRUE,Data!FH2:FH1048576&lt;&gt;"",0))</f>
        <v>#N/A</v>
      </c>
    </row>
    <row r="56" spans="3:5" x14ac:dyDescent="0.25">
      <c r="C56" s="24" t="s">
        <v>903</v>
      </c>
      <c r="D56" s="45" t="e" cm="1">
        <f t="array" ref="D56">IF(INDEX(Data!EY2:EY1048576,MATCH(TRUE,Data!EY2:EY1048576&lt;&gt;"",0))=1,"Short-term (nEYt 12 months)",
IF(INDEX(Data!EY2:EY1048576,MATCH(TRUE,Data!EY2:EY1048576&lt;&gt;"",0))=2,"Mid-term (nEYt 12-24 months)",
IF(INDEX(Data!EY2:EY1048576,MATCH(TRUE,Data!EY2:EY1048576&lt;&gt;"",0))=3,"Long-term (24 months and beyond)","")))</f>
        <v>#N/A</v>
      </c>
      <c r="E56" s="47" t="e" cm="1">
        <f t="array" ref="E56">INDEX(Data!FI2:FI1048576,MATCH(TRUE,Data!FI2:FI1048576&lt;&gt;"",0))</f>
        <v>#N/A</v>
      </c>
    </row>
    <row r="57" spans="3:5" x14ac:dyDescent="0.25">
      <c r="C57" s="24" t="s">
        <v>903</v>
      </c>
      <c r="D57" s="45" t="e" cm="1">
        <f t="array" ref="D57">IF(INDEX(Data!EZ2:EZ1048576,MATCH(TRUE,Data!EZ2:EZ1048576&lt;&gt;"",0))=1,"Short-term (next 12 months)",
IF(INDEX(Data!EZ2:EZ1048576,MATCH(TRUE,Data!EZ2:EZ1048576&lt;&gt;"",0))=2,"Mid-term (next 12-24 months)",
IF(INDEX(Data!EZ2:EZ1048576,MATCH(TRUE,Data!EZ2:EZ1048576&lt;&gt;"",0))=3,"Long-term (24 months and beyond)","")))</f>
        <v>#N/A</v>
      </c>
      <c r="E57" s="47" t="e" cm="1">
        <f t="array" ref="E57">INDEX(Data!FJ2:FJ1048576,MATCH(TRUE,Data!FJ2:FJ1048576&lt;&gt;"",0))</f>
        <v>#N/A</v>
      </c>
    </row>
    <row r="61" spans="3:5" ht="15.6" thickBot="1" x14ac:dyDescent="0.3"/>
    <row r="62" spans="3:5" ht="18" thickBot="1" x14ac:dyDescent="0.3">
      <c r="C62" s="26" t="s">
        <v>926</v>
      </c>
      <c r="D62" s="44" t="s">
        <v>894</v>
      </c>
      <c r="E62" s="44" t="s">
        <v>895</v>
      </c>
    </row>
    <row r="63" spans="3:5" ht="30" x14ac:dyDescent="0.25">
      <c r="C63" s="24" t="s">
        <v>931</v>
      </c>
      <c r="D63" s="45" t="str" cm="1">
        <f t="array" ref="D63">IF(INDEX(Data!FN2:FN1048576,MATCH(TRUE,Data!FN2:FN1048576&lt;&gt;"",0))=1,"Short-term (next 12 months)",
IF(INDEX(Data!FN2:FN1048576,MATCH(TRUE,Data!FN2:FN1048576&lt;&gt;"",0))=2,"Mid-term (next 12-24 months)",
IF(INDEX(Data!FN2:FN1048576,MATCH(TRUE,Data!FN2:FN1048576&lt;&gt;"",0))=3,"Long-term (24 months and beyond)","")))</f>
        <v>Mid-term (next 12-24 months)</v>
      </c>
      <c r="E63" s="47" t="str" cm="1">
        <f t="array" ref="E63">INDEX(Data!FY2:FY1048576,MATCH(TRUE,Data!FY2:FY1048576&lt;&gt;"",0))</f>
        <v>OK</v>
      </c>
    </row>
    <row r="64" spans="3:5" ht="30" x14ac:dyDescent="0.25">
      <c r="C64" s="24" t="s">
        <v>932</v>
      </c>
      <c r="D64" s="45" t="str" cm="1">
        <f t="array" ref="D64">IF(INDEX(Data!FO2:FO1048576,MATCH(TRUE,Data!FO2:FO1048576&lt;&gt;"",0))=1,"Short-term (next 12 months)",
IF(INDEX(Data!FO2:FO1048576,MATCH(TRUE,Data!FO2:FO1048576&lt;&gt;"",0))=2,"Mid-term (next 12-24 months)",
IF(INDEX(Data!FO2:FO1048576,MATCH(TRUE,Data!FO2:FO1048576&lt;&gt;"",0))=3,"Long-term (24 months and beyond)","")))</f>
        <v>Mid-term (next 12-24 months)</v>
      </c>
      <c r="E64" s="47" t="str" cm="1">
        <f t="array" ref="E64">INDEX(Data!FZ2:FZ1048576,MATCH(TRUE,Data!FZ2:FZ1048576&lt;&gt;"",0))</f>
        <v>OK</v>
      </c>
    </row>
    <row r="65" spans="3:5" ht="30" x14ac:dyDescent="0.25">
      <c r="C65" s="24" t="s">
        <v>933</v>
      </c>
      <c r="D65" s="45" t="str" cm="1">
        <f t="array" ref="D65">IF(INDEX(Data!FP2:FP1048576,MATCH(TRUE,Data!FP2:FP1048576&lt;&gt;"",0))=1,"Short-term (next 12 months)",
IF(INDEX(Data!FP2:FP1048576,MATCH(TRUE,Data!FP2:FP1048576&lt;&gt;"",0))=2,"Mid-term (next 12-24 months)",
IF(INDEX(Data!FP2:FP1048576,MATCH(TRUE,Data!FP2:FP1048576&lt;&gt;"",0))=3,"Long-term (24 months and beyond)","")))</f>
        <v>Mid-term (next 12-24 months)</v>
      </c>
      <c r="E65" s="47" t="str" cm="1">
        <f t="array" ref="E65">INDEX(Data!GA2:GA1048576,MATCH(TRUE,Data!GA2:GA1048576&lt;&gt;"",0))</f>
        <v>OK</v>
      </c>
    </row>
    <row r="66" spans="3:5" ht="45" x14ac:dyDescent="0.25">
      <c r="C66" s="24" t="s">
        <v>934</v>
      </c>
      <c r="D66" s="45" t="str" cm="1">
        <f t="array" ref="D66">IF(INDEX(Data!FQ2:FQ1048576,MATCH(TRUE,Data!FQ2:FQ1048576&lt;&gt;"",0))=1,"Short-term (next 12 months)",
IF(INDEX(Data!FQ2:FQ1048576,MATCH(TRUE,Data!FQ2:FQ1048576&lt;&gt;"",0))=2,"Mid-term (next 12-24 months)",
IF(INDEX(Data!FQ2:FQ1048576,MATCH(TRUE,Data!FQ2:FQ1048576&lt;&gt;"",0))=3,"Long-term (24 months and beyond)","")))</f>
        <v>Mid-term (next 12-24 months)</v>
      </c>
      <c r="E66" s="47" t="e" cm="1">
        <f t="array" ref="E66">INDEX(Data!GB2:GB1048576,MATCH(TRUE,Data!GB2:GB1048576&lt;&gt;"",0))</f>
        <v>#N/A</v>
      </c>
    </row>
    <row r="67" spans="3:5" ht="30" x14ac:dyDescent="0.25">
      <c r="C67" s="24" t="s">
        <v>927</v>
      </c>
      <c r="D67" s="45" t="str" cm="1">
        <f t="array" ref="D67">IF(INDEX(Data!FR2:FR1048576,MATCH(TRUE,Data!FR2:FR1048576&lt;&gt;"",0))=1,"Short-term (next 12 months)",
IF(INDEX(Data!FR2:FR1048576,MATCH(TRUE,Data!FR2:FR1048576&lt;&gt;"",0))=2,"Mid-term (next 12-24 months)",
IF(INDEX(Data!FR2:FR1048576,MATCH(TRUE,Data!FR2:FR1048576&lt;&gt;"",0))=3,"Long-term (24 months and beyond)","")))</f>
        <v>Mid-term (next 12-24 months)</v>
      </c>
      <c r="E67" s="47" t="str" cm="1">
        <f t="array" ref="E67">INDEX(Data!GC2:GC1048576,MATCH(TRUE,Data!GC2:GC1048576&lt;&gt;"",0))</f>
        <v>Will not DO</v>
      </c>
    </row>
    <row r="68" spans="3:5" ht="30" x14ac:dyDescent="0.25">
      <c r="C68" s="24" t="s">
        <v>928</v>
      </c>
      <c r="D68" s="45" t="str" cm="1">
        <f t="array" ref="D68">IF(INDEX(Data!FS2:FS1048576,MATCH(TRUE,Data!FS2:FS1048576&lt;&gt;"",0))=1,"Short-term (next 12 months)",
IF(INDEX(Data!FS2:FS1048576,MATCH(TRUE,Data!FS2:FS1048576&lt;&gt;"",0))=2,"Mid-term (next 12-24 months)",
IF(INDEX(Data!FS2:FS1048576,MATCH(TRUE,Data!FS2:FS1048576&lt;&gt;"",0))=3,"Long-term (24 months and beyond)","")))</f>
        <v>Mid-term (next 12-24 months)</v>
      </c>
      <c r="E68" s="47" t="e" cm="1">
        <f t="array" ref="E68">INDEX(Data!GD2:GD1048576,MATCH(TRUE,Data!GD2:GD1048576&lt;&gt;"",0))</f>
        <v>#N/A</v>
      </c>
    </row>
    <row r="69" spans="3:5" ht="30" x14ac:dyDescent="0.25">
      <c r="C69" s="24" t="s">
        <v>929</v>
      </c>
      <c r="D69" s="45" t="str" cm="1">
        <f t="array" ref="D69">IF(INDEX(Data!FT2:FT1048576,MATCH(TRUE,Data!FT2:FT1048576&lt;&gt;"",0))=1,"Short-term (next 12 months)",
IF(INDEX(Data!FT2:FT1048576,MATCH(TRUE,Data!FT2:FT1048576&lt;&gt;"",0))=2,"Mid-term (next 12-24 months)",
IF(INDEX(Data!FT2:FT1048576,MATCH(TRUE,Data!FT2:FT1048576&lt;&gt;"",0))=3,"Long-term (24 months and beyond)","")))</f>
        <v>Mid-term (next 12-24 months)</v>
      </c>
      <c r="E69" s="47" t="e" cm="1">
        <f t="array" ref="E69">INDEX(Data!GE2:GE1048576,MATCH(TRUE,Data!GE2:GE1048576&lt;&gt;"",0))</f>
        <v>#N/A</v>
      </c>
    </row>
    <row r="70" spans="3:5" ht="30" x14ac:dyDescent="0.25">
      <c r="C70" s="24" t="s">
        <v>930</v>
      </c>
      <c r="D70" s="45" t="str" cm="1">
        <f t="array" ref="D70">IF(INDEX(Data!FU2:FU1048576,MATCH(TRUE,Data!FU2:FU1048576&lt;&gt;"",0))=1,"Short-term (next 12 months)",
IF(INDEX(Data!FU2:FU1048576,MATCH(TRUE,Data!FU2:FU1048576&lt;&gt;"",0))=2,"Mid-term (next 12-24 months)",
IF(INDEX(Data!FU2:FU1048576,MATCH(TRUE,Data!FU2:FU1048576&lt;&gt;"",0))=3,"Long-term (24 months and beyond)","")))</f>
        <v>Mid-term (next 12-24 months)</v>
      </c>
      <c r="E70" s="47" t="e" cm="1">
        <f t="array" ref="E70">INDEX(Data!GF2:GF1048576,MATCH(TRUE,Data!GF2:GF1048576&lt;&gt;"",0))</f>
        <v>#N/A</v>
      </c>
    </row>
    <row r="71" spans="3:5" ht="30" x14ac:dyDescent="0.25">
      <c r="C71" s="24" t="s">
        <v>903</v>
      </c>
      <c r="D71" s="45" t="str" cm="1">
        <f t="array" ref="D71">IF(INDEX(Data!FV2:FV1048576,MATCH(TRUE,Data!FV2:FV1048576&lt;&gt;"",0))=1,"Short-term (next 12 months)",
IF(INDEX(Data!FV2:FV1048576,MATCH(TRUE,Data!FV2:FV1048576&lt;&gt;"",0))=2,"Mid-term (next 12-24 months)",
IF(INDEX(Data!FV2:FV1048576,MATCH(TRUE,Data!FV2:FV1048576&lt;&gt;"",0))=3,"Long-term (24 months and beyond)","")))</f>
        <v>Mid-term (next 12-24 months)</v>
      </c>
      <c r="E71" s="47" t="str" cm="1">
        <f t="array" ref="E71">INDEX(Data!GG2:GG1048576,MATCH(TRUE,Data!GG2:GG1048576&lt;&gt;"",0))</f>
        <v>OK</v>
      </c>
    </row>
    <row r="72" spans="3:5" x14ac:dyDescent="0.25">
      <c r="C72" s="24" t="s">
        <v>903</v>
      </c>
      <c r="D72" s="45" t="e" cm="1">
        <f t="array" ref="D72">IF(INDEX(Data!FW2:FW1048576,MATCH(TRUE,Data!FW2:FW1048576&lt;&gt;"",0))=1,"Short-term (next 12 months)",
IF(INDEX(Data!FW2:FW1048576,MATCH(TRUE,Data!FW2:FW1048576&lt;&gt;"",0))=2,"Mid-term (next 12-24 months)",
IF(INDEX(Data!FW2:FW1048576,MATCH(TRUE,Data!FW2:FW1048576&lt;&gt;"",0))=3,"Long-term (24 months and beyond)","")))</f>
        <v>#N/A</v>
      </c>
      <c r="E72" s="47" t="e" cm="1">
        <f t="array" ref="E72">INDEX(Data!GH2:GH1048576,MATCH(TRUE,Data!GH2:GH1048576&lt;&gt;"",0))</f>
        <v>#N/A</v>
      </c>
    </row>
    <row r="73" spans="3:5" x14ac:dyDescent="0.25">
      <c r="C73" s="24" t="s">
        <v>903</v>
      </c>
      <c r="D73" s="45" t="e" cm="1">
        <f t="array" ref="D73">IF(INDEX(Data!FX2:FX1048576,MATCH(TRUE,Data!FX2:FX1048576&lt;&gt;"",0))=1,"Short-term (next 12 months)",
IF(INDEX(Data!FX2:FX1048576,MATCH(TRUE,Data!FX2:FX1048576&lt;&gt;"",0))=2,"Mid-term (next 12-24 months)",
IF(INDEX(Data!FX2:FX1048576,MATCH(TRUE,Data!FX2:FX1048576&lt;&gt;"",0))=3,"Long-term (24 months and beyond)","")))</f>
        <v>#N/A</v>
      </c>
      <c r="E73" s="47" t="e" cm="1">
        <f t="array" ref="E73">INDEX(Data!GI2:GI1048576,MATCH(TRUE,Data!GI2:GI1048576&lt;&gt;"",0))</f>
        <v>#N/A</v>
      </c>
    </row>
    <row r="78" spans="3:5" ht="15.6" thickBot="1" x14ac:dyDescent="0.3"/>
    <row r="79" spans="3:5" ht="35.4" thickBot="1" x14ac:dyDescent="0.3">
      <c r="C79" s="26" t="s">
        <v>935</v>
      </c>
      <c r="D79" s="44" t="s">
        <v>894</v>
      </c>
      <c r="E79" s="44" t="s">
        <v>895</v>
      </c>
    </row>
    <row r="80" spans="3:5" ht="30" x14ac:dyDescent="0.25">
      <c r="C80" s="24" t="s">
        <v>936</v>
      </c>
      <c r="D80" s="42" t="str" cm="1">
        <f t="array" ref="D80">IF(INDEX(Data!GM2:GM1048576,MATCH(TRUE,Data!GM2:GM1048576&lt;&gt;"",0))=1,"Short-term (next 12 months)",
IF(INDEX(Data!GM2:GM1048576,MATCH(TRUE,Data!GM2:GM1048576&lt;&gt;"",0))=2,"Mid-term (next 12-24 months)",
IF(INDEX(Data!GM2:GM1048576,MATCH(TRUE,Data!GM2:GM1048576&lt;&gt;"",0))=3,"Long-term (24 months and beyond)","")))</f>
        <v>Mid-term (next 12-24 months)</v>
      </c>
      <c r="E80" s="47" t="e" cm="1">
        <f t="array" ref="E80">INDEX(Data!GU2:GU1048576,MATCH(TRUE,Data!GU2:GU1048576&lt;&gt;"",0))</f>
        <v>#N/A</v>
      </c>
    </row>
    <row r="81" spans="3:5" x14ac:dyDescent="0.25">
      <c r="C81" s="24" t="s">
        <v>937</v>
      </c>
      <c r="D81" s="45" t="e" cm="1">
        <f t="array" ref="D81">IF(INDEX(Data!GN2:GN1048576,MATCH(TRUE,Data!GN2:GN1048576&lt;&gt;"",0))=1,"Short-term (next 12 months)",
IF(INDEX(Data!GN2:GN1048576,MATCH(TRUE,Data!GN2:GN1048576&lt;&gt;"",0))=2,"Mid-term (next 12-24 months)",
IF(INDEX(Data!GN2:GN1048576,MATCH(TRUE,Data!GN2:GN1048576&lt;&gt;"",0))=3,"Long-term (24 months and beyond)","")))</f>
        <v>#N/A</v>
      </c>
      <c r="E81" s="47" t="e" cm="1">
        <f t="array" ref="E81">INDEX(Data!GV2:GV1048576,MATCH(TRUE,Data!GV2:GV1048576&lt;&gt;"",0))</f>
        <v>#N/A</v>
      </c>
    </row>
    <row r="82" spans="3:5" ht="30" x14ac:dyDescent="0.25">
      <c r="C82" s="24" t="s">
        <v>1094</v>
      </c>
      <c r="D82" s="45" t="str" cm="1">
        <f t="array" ref="D82">IF(INDEX(Data!GO2:GO1048576,MATCH(TRUE,Data!GO2:GO1048576&lt;&gt;"",0))=1,"Short-term (next 12 months)",
IF(INDEX(Data!GO2:GO1048576,MATCH(TRUE,Data!GO2:GO1048576&lt;&gt;"",0))=2,"Mid-term (next 12-24 months)",
IF(INDEX(Data!GO2:GO1048576,MATCH(TRUE,Data!GO2:GO1048576&lt;&gt;"",0))=3,"Long-term (24 months and beyond)","")))</f>
        <v>Mid-term (next 12-24 months)</v>
      </c>
      <c r="E82" s="47" t="e" cm="1">
        <f t="array" ref="E82">INDEX(Data!GW2:GW1048576,MATCH(TRUE,Data!GW2:GW1048576&lt;&gt;"",0))</f>
        <v>#N/A</v>
      </c>
    </row>
    <row r="83" spans="3:5" ht="30" x14ac:dyDescent="0.25">
      <c r="C83" s="24" t="s">
        <v>938</v>
      </c>
      <c r="D83" s="45" t="e" cm="1">
        <f t="array" ref="D83">IF(INDEX(Data!GP2:GP1048576,MATCH(TRUE,Data!GP2:GP1048576&lt;&gt;"",0))=1,"Short-term (next 12 months)",
IF(INDEX(Data!GP2:GP1048576,MATCH(TRUE,Data!GP2:GP1048576&lt;&gt;"",0))=2,"Mid-term (next 12-24 months)",
IF(INDEX(Data!GP2:GP1048576,MATCH(TRUE,Data!GP2:GP1048576&lt;&gt;"",0))=3,"Long-term (24 months and beyond)","")))</f>
        <v>#N/A</v>
      </c>
      <c r="E83" s="47" t="e" cm="1">
        <f t="array" ref="E83">INDEX(Data!GX2:GX1048576,MATCH(TRUE,Data!GX2:GX1048576&lt;&gt;"",0))</f>
        <v>#N/A</v>
      </c>
    </row>
    <row r="84" spans="3:5" ht="30" x14ac:dyDescent="0.25">
      <c r="C84" s="24" t="s">
        <v>939</v>
      </c>
      <c r="D84" s="45" t="e" cm="1">
        <f t="array" ref="D84">IF(INDEX(Data!GQ2:GQ1048576,MATCH(TRUE,Data!GQ2:GQ1048576&lt;&gt;"",0))=1,"Short-term (next 12 months)",
IF(INDEX(Data!GQ2:GQ1048576,MATCH(TRUE,Data!GQ2:GQ1048576&lt;&gt;"",0))=2,"Mid-term (next 12-24 months)",
IF(INDEX(Data!GQ2:GQ1048576,MATCH(TRUE,Data!GQ2:GQ1048576&lt;&gt;"",0))=3,"Long-term (24 months and beyond)","")))</f>
        <v>#N/A</v>
      </c>
      <c r="E84" s="47" t="e" cm="1">
        <f t="array" ref="E84">INDEX(Data!GY2:GY1048576,MATCH(TRUE,Data!GY2:GY1048576&lt;&gt;"",0))</f>
        <v>#N/A</v>
      </c>
    </row>
    <row r="85" spans="3:5" x14ac:dyDescent="0.25">
      <c r="C85" s="24" t="s">
        <v>903</v>
      </c>
      <c r="D85" s="45" t="e" cm="1">
        <f t="array" ref="D85">IF(INDEX(Data!GR2:GR1048576,MATCH(TRUE,Data!GR2:GR1048576&lt;&gt;"",0))=1,"Short-term (next 12 months)",
IF(INDEX(Data!GR2:GR1048576,MATCH(TRUE,Data!GR2:GR1048576&lt;&gt;"",0))=2,"Mid-term (next 12-24 months)",
IF(INDEX(Data!GR2:GR1048576,MATCH(TRUE,Data!GR2:GR1048576&lt;&gt;"",0))=3,"Long-term (24 months and beyond)","")))</f>
        <v>#N/A</v>
      </c>
      <c r="E85" s="47" t="e" cm="1">
        <f t="array" ref="E85">INDEX(Data!GZ2:GZ1048576,MATCH(TRUE,Data!GZ2:GZ1048576&lt;&gt;"",0))</f>
        <v>#N/A</v>
      </c>
    </row>
    <row r="86" spans="3:5" x14ac:dyDescent="0.25">
      <c r="C86" s="24" t="s">
        <v>903</v>
      </c>
      <c r="D86" s="45" t="e" cm="1">
        <f t="array" ref="D86">IF(INDEX(Data!GS2:GS1048576,MATCH(TRUE,Data!GS2:GS1048576&lt;&gt;"",0))=1,"Short-term (next 12 months)",
IF(INDEX(Data!GS2:GS1048576,MATCH(TRUE,Data!GS2:GS1048576&lt;&gt;"",0))=2,"Mid-term (next 12-24 months)",
IF(INDEX(Data!GS2:GS1048576,MATCH(TRUE,Data!GS2:GS1048576&lt;&gt;"",0))=3,"Long-term (24 months and beyond)","")))</f>
        <v>#N/A</v>
      </c>
      <c r="E86" s="47" t="str" cm="1">
        <f t="array" ref="E86">INDEX(Data!HA2:HA1048576,MATCH(TRUE,Data!HA2:HA1048576&lt;&gt;"",0))</f>
        <v>Test</v>
      </c>
    </row>
    <row r="87" spans="3:5" ht="30" x14ac:dyDescent="0.25">
      <c r="C87" s="24" t="s">
        <v>903</v>
      </c>
      <c r="D87" s="45" t="str" cm="1">
        <f t="array" ref="D87">IF(INDEX(Data!GT2:GT1048576,MATCH(TRUE,Data!GT2:GT1048576&lt;&gt;"",0))=1,"Short-term (next 12 months)",
IF(INDEX(Data!GT2:GT1048576,MATCH(TRUE,Data!GT2:GT1048576&lt;&gt;"",0))=2,"Mid-term (next 12-24 months)",
IF(INDEX(Data!GT2:GT1048576,MATCH(TRUE,Data!GT2:GT1048576&lt;&gt;"",0))=3,"Long-term (24 months and beyond)","")))</f>
        <v>Mid-term (next 12-24 months)</v>
      </c>
      <c r="E87" s="47" t="str" cm="1">
        <f t="array" ref="E87">INDEX(Data!HB2:HB1048576,MATCH(TRUE,Data!HB2:HB1048576&lt;&gt;"",0))</f>
        <v>TestER</v>
      </c>
    </row>
    <row r="91" spans="3:5" ht="15.6" thickBot="1" x14ac:dyDescent="0.3"/>
    <row r="92" spans="3:5" ht="35.4" thickBot="1" x14ac:dyDescent="0.3">
      <c r="C92" s="26" t="s">
        <v>940</v>
      </c>
      <c r="D92" s="44" t="s">
        <v>894</v>
      </c>
      <c r="E92" s="44" t="s">
        <v>895</v>
      </c>
    </row>
    <row r="93" spans="3:5" ht="30" x14ac:dyDescent="0.25">
      <c r="C93" s="24" t="s">
        <v>941</v>
      </c>
      <c r="D93" s="45" t="str" cm="1">
        <f t="array" ref="D93">IF(INDEX(Data!HF2:HF1048576,MATCH(TRUE,Data!HF2:HF1048576&lt;&gt;"",0))=1,"Short-term (next 12 months)",
IF(INDEX(Data!HF2:HF1048576,MATCH(TRUE,Data!HF2:HF1048576&lt;&gt;"",0))=2,"Mid-term (next 12-24 months)",
IF(INDEX(Data!HF2:HF1048576,MATCH(TRUE,Data!HF2:HF1048576&lt;&gt;"",0))=3,"Long-term (24 months and beyond)","")))</f>
        <v>Short-term (next 12 months)</v>
      </c>
      <c r="E93" s="47" t="str" cm="1">
        <f t="array" ref="E93">INDEX(Data!HN2:HN1048576,MATCH(TRUE,Data!HN2:HN1048576&lt;&gt;"",0))</f>
        <v>OKAY</v>
      </c>
    </row>
    <row r="94" spans="3:5" ht="30" x14ac:dyDescent="0.25">
      <c r="C94" s="24" t="s">
        <v>942</v>
      </c>
      <c r="D94" s="45" t="str" cm="1">
        <f t="array" ref="D94">IF(INDEX(Data!HG2:HG1048576,MATCH(TRUE,Data!HG2:HG1048576&lt;&gt;"",0))=1,"Short-term (next 12 months)",
IF(INDEX(Data!HG2:HG1048576,MATCH(TRUE,Data!HG2:HG1048576&lt;&gt;"",0))=2,"Mid-term (next 12-24 months)",
IF(INDEX(Data!HG2:HG1048576,MATCH(TRUE,Data!HG2:HG1048576&lt;&gt;"",0))=3,"Long-term (24 months and beyond)","")))</f>
        <v>Short-term (next 12 months)</v>
      </c>
      <c r="E94" s="47" t="str" cm="1">
        <f t="array" ref="E94">INDEX(Data!HO2:HO1048576,MATCH(TRUE,Data!HO2:HO1048576&lt;&gt;"",0))</f>
        <v>OKAY</v>
      </c>
    </row>
    <row r="95" spans="3:5" ht="30" x14ac:dyDescent="0.25">
      <c r="C95" s="24" t="s">
        <v>943</v>
      </c>
      <c r="D95" s="45" t="str" cm="1">
        <f t="array" ref="D95">IF(INDEX(Data!HH2:HH1048576,MATCH(TRUE,Data!HH2:HH1048576&lt;&gt;"",0))=1,"Short-term (next 12 months)",
IF(INDEX(Data!HH2:HH1048576,MATCH(TRUE,Data!HH2:HH1048576&lt;&gt;"",0))=2,"Mid-term (next 12-24 months)",
IF(INDEX(Data!HH2:HH1048576,MATCH(TRUE,Data!HH2:HH1048576&lt;&gt;"",0))=3,"Long-term (24 months and beyond)","")))</f>
        <v>Short-term (next 12 months)</v>
      </c>
      <c r="E95" s="47" t="e" cm="1">
        <f t="array" ref="E95">INDEX(Data!HP2:HP1048576,MATCH(TRUE,Data!HP2:HP1048576&lt;&gt;"",0))</f>
        <v>#N/A</v>
      </c>
    </row>
    <row r="96" spans="3:5" ht="30" x14ac:dyDescent="0.25">
      <c r="C96" s="24" t="s">
        <v>944</v>
      </c>
      <c r="D96" s="45" t="e" cm="1">
        <f t="array" ref="D96">IF(INDEX(Data!HI2:HI1048576,MATCH(TRUE,Data!HI2:HI1048576&lt;&gt;"",0))=1,"Short-term (next 12 months)",
IF(INDEX(Data!HI2:HI1048576,MATCH(TRUE,Data!HI2:HI1048576&lt;&gt;"",0))=2,"Mid-term (next 12-24 months)",
IF(INDEX(Data!HI2:HI1048576,MATCH(TRUE,Data!HI2:HI1048576&lt;&gt;"",0))=3,"Long-term (24 months and beyond)","")))</f>
        <v>#N/A</v>
      </c>
      <c r="E96" s="47" t="str" cm="1">
        <f t="array" ref="E96">INDEX(Data!HQ2:HQ1048576,MATCH(TRUE,Data!HQ2:HQ1048576&lt;&gt;"",0))</f>
        <v>OKAY</v>
      </c>
    </row>
    <row r="97" spans="3:5" x14ac:dyDescent="0.25">
      <c r="C97" s="24" t="s">
        <v>945</v>
      </c>
      <c r="D97" s="45" t="e" cm="1">
        <f t="array" ref="D97">IF(INDEX(Data!HJ2:HJ1048576,MATCH(TRUE,Data!HJ2:HJ1048576&lt;&gt;"",0))=1,"Short-term (next 12 months)",
IF(INDEX(Data!HJ2:HJ1048576,MATCH(TRUE,Data!HJ2:HJ1048576&lt;&gt;"",0))=2,"Mid-term (next 12-24 months)",
IF(INDEX(Data!HJ2:HJ1048576,MATCH(TRUE,Data!HJ2:HJ1048576&lt;&gt;"",0))=3,"Long-term (24 months and beyond)","")))</f>
        <v>#N/A</v>
      </c>
      <c r="E97" s="47" t="e" cm="1">
        <f t="array" ref="E97">INDEX(Data!HR2:HR1048576,MATCH(TRUE,Data!HR2:HR1048576&lt;&gt;"",0))</f>
        <v>#N/A</v>
      </c>
    </row>
    <row r="98" spans="3:5" x14ac:dyDescent="0.25">
      <c r="C98" s="24" t="s">
        <v>903</v>
      </c>
      <c r="D98" s="45" t="e" cm="1">
        <f t="array" ref="D98">IF(INDEX(Data!HK2:HK1048576,MATCH(TRUE,Data!HK2:HK1048576&lt;&gt;"",0))=1,"Short-term (next 12 months)",
IF(INDEX(Data!HK2:HK1048576,MATCH(TRUE,Data!HK2:HK1048576&lt;&gt;"",0))=2,"Mid-term (next 12-24 months)",
IF(INDEX(Data!HK2:HK1048576,MATCH(TRUE,Data!HK2:HK1048576&lt;&gt;"",0))=3,"Long-term (24 months and beyond)","")))</f>
        <v>#N/A</v>
      </c>
      <c r="E98" s="47" t="e" cm="1">
        <f t="array" ref="E98">INDEX(Data!HS2:HS1048576,MATCH(TRUE,Data!HS2:HS1048576&lt;&gt;"",0))</f>
        <v>#N/A</v>
      </c>
    </row>
    <row r="99" spans="3:5" x14ac:dyDescent="0.25">
      <c r="C99" s="24" t="s">
        <v>903</v>
      </c>
      <c r="D99" s="45" t="e" cm="1">
        <f t="array" ref="D99">IF(INDEX(Data!HL2:HL1048576,MATCH(TRUE,Data!HL2:HL1048576&lt;&gt;"",0))=1,"Short-term (next 12 months)",
IF(INDEX(Data!HL2:HL1048576,MATCH(TRUE,Data!HL2:HL1048576&lt;&gt;"",0))=2,"Mid-term (next 12-24 months)",
IF(INDEX(Data!HL2:HL1048576,MATCH(TRUE,Data!HL2:HL1048576&lt;&gt;"",0))=3,"Long-term (24 months and beyond)","")))</f>
        <v>#N/A</v>
      </c>
      <c r="E99" s="47" t="e" cm="1">
        <f t="array" ref="E99">INDEX(Data!HT2:HT1048576,MATCH(TRUE,Data!HT2:HT1048576&lt;&gt;"",0))</f>
        <v>#N/A</v>
      </c>
    </row>
    <row r="100" spans="3:5" ht="30" x14ac:dyDescent="0.25">
      <c r="C100" s="24" t="s">
        <v>903</v>
      </c>
      <c r="D100" s="45" t="str" cm="1">
        <f t="array" ref="D100">IF(INDEX(Data!HM2:HM1048576,MATCH(TRUE,Data!HM2:HM1048576&lt;&gt;"",0))=1,"Short-term (next 12 months)",
IF(INDEX(Data!HM2:HM1048576,MATCH(TRUE,Data!HM2:HM1048576&lt;&gt;"",0))=2,"Mid-term (next 12-24 months)",
IF(INDEX(Data!HM2:HM1048576,MATCH(TRUE,Data!HM2:HM1048576&lt;&gt;"",0))=3,"Long-term (24 months and beyond)","")))</f>
        <v>Mid-term (next 12-24 months)</v>
      </c>
      <c r="E100" s="47" t="str" cm="1">
        <f t="array" ref="E100">INDEX(Data!HU2:HU1048576,MATCH(TRUE,Data!HU2:HU1048576&lt;&gt;"",0))</f>
        <v>End</v>
      </c>
    </row>
    <row r="104" spans="3:5" ht="15.6" thickBot="1" x14ac:dyDescent="0.3"/>
    <row r="105" spans="3:5" ht="52.8" thickBot="1" x14ac:dyDescent="0.3">
      <c r="C105" s="26" t="s">
        <v>946</v>
      </c>
      <c r="D105" s="44" t="s">
        <v>894</v>
      </c>
      <c r="E105" s="44" t="s">
        <v>895</v>
      </c>
    </row>
    <row r="106" spans="3:5" ht="30" x14ac:dyDescent="0.25">
      <c r="C106" s="24" t="s">
        <v>947</v>
      </c>
      <c r="D106" s="45" t="str" cm="1">
        <f t="array" ref="D106">IF(INDEX(Data!HY2:HY1048576,MATCH(TRUE,Data!HY2:HY1048576&lt;&gt;"",0))=1,"Short-term (next 12 months)",
IF(INDEX(Data!HY2:HY1048576,MATCH(TRUE,Data!HY2:HY1048576&lt;&gt;"",0))=2,"Mid-term (next 12-24 months)",
IF(INDEX(Data!HY2:HY1048576,MATCH(TRUE,Data!HY2:HY1048576&lt;&gt;"",0))=3,"Long-term (24 months and beyond)","")))</f>
        <v>Mid-term (next 12-24 months)</v>
      </c>
      <c r="E106" s="47" t="str" cm="1">
        <f t="array" ref="E106">INDEX(Data!IG2:IG1048576,MATCH(TRUE,Data!IG2:IG1048576&lt;&gt;"",0))</f>
        <v>TESF</v>
      </c>
    </row>
    <row r="107" spans="3:5" ht="30" x14ac:dyDescent="0.25">
      <c r="C107" s="24" t="s">
        <v>948</v>
      </c>
      <c r="D107" s="45" t="str" cm="1">
        <f t="array" ref="D107">IF(INDEX(Data!HZ2:HZ1048576,MATCH(TRUE,Data!HZ2:HZ1048576&lt;&gt;"",0))=1,"Short-term (next 12 months)",
IF(INDEX(Data!HZ2:HZ1048576,MATCH(TRUE,Data!HZ2:HZ1048576&lt;&gt;"",0))=2,"Mid-term (next 12-24 months)",
IF(INDEX(Data!HZ2:HZ1048576,MATCH(TRUE,Data!HZ2:HZ1048576&lt;&gt;"",0))=3,"Long-term (24 months and beyond)","")))</f>
        <v>Mid-term (next 12-24 months)</v>
      </c>
      <c r="E107" s="47" t="e" cm="1">
        <f t="array" ref="E107">INDEX(Data!IH2:IH1048576,MATCH(TRUE,Data!IH2:IH1048576&lt;&gt;"",0))</f>
        <v>#N/A</v>
      </c>
    </row>
    <row r="108" spans="3:5" ht="30" x14ac:dyDescent="0.25">
      <c r="C108" s="24" t="s">
        <v>949</v>
      </c>
      <c r="D108" s="45" t="e" cm="1">
        <f t="array" ref="D108">IF(INDEX(Data!IA2:IA1048576,MATCH(TRUE,Data!IA2:IA1048576&lt;&gt;"",0))=1,"Short-term (next 12 months)",
IF(INDEX(Data!IA2:IA1048576,MATCH(TRUE,Data!IA2:IA1048576&lt;&gt;"",0))=2,"Mid-term (next 12-24 months)",
IF(INDEX(Data!IA2:IA1048576,MATCH(TRUE,Data!IA2:IA1048576&lt;&gt;"",0))=3,"Long-term (24 months and beyond)","")))</f>
        <v>#N/A</v>
      </c>
      <c r="E108" s="47" t="e" cm="1">
        <f t="array" ref="E108">INDEX(Data!II2:II1048576,MATCH(TRUE,Data!II2:II1048576&lt;&gt;"",0))</f>
        <v>#N/A</v>
      </c>
    </row>
    <row r="109" spans="3:5" ht="30" x14ac:dyDescent="0.25">
      <c r="C109" s="24" t="s">
        <v>950</v>
      </c>
      <c r="D109" s="45" t="str" cm="1">
        <f t="array" ref="D109">IF(INDEX(Data!IB2:IB1048576,MATCH(TRUE,Data!IB2:IB1048576&lt;&gt;"",0))=1,"Short-term (next 12 months)",
IF(INDEX(Data!IB2:IB1048576,MATCH(TRUE,Data!IB2:IB1048576&lt;&gt;"",0))=2,"Mid-term (next 12-24 months)",
IF(INDEX(Data!IB2:IB1048576,MATCH(TRUE,Data!IB2:IB1048576&lt;&gt;"",0))=3,"Long-term (24 months and beyond)","")))</f>
        <v>Mid-term (next 12-24 months)</v>
      </c>
      <c r="E109" s="47" t="e" cm="1">
        <f t="array" ref="E109">INDEX(Data!IJ2:IJ1048576,MATCH(TRUE,Data!IJ2:IJ1048576&lt;&gt;"",0))</f>
        <v>#N/A</v>
      </c>
    </row>
    <row r="110" spans="3:5" ht="30" x14ac:dyDescent="0.25">
      <c r="C110" s="24" t="s">
        <v>951</v>
      </c>
      <c r="D110" s="45" t="str" cm="1">
        <f t="array" ref="D110">IF(INDEX(Data!IC2:IC1048576,MATCH(TRUE,Data!IC2:IC1048576&lt;&gt;"",0))=1,"Short-term (next 12 months)",
IF(INDEX(Data!IC2:IC1048576,MATCH(TRUE,Data!IC2:IC1048576&lt;&gt;"",0))=2,"Mid-term (next 12-24 months)",
IF(INDEX(Data!IC2:IC1048576,MATCH(TRUE,Data!IC2:IC1048576&lt;&gt;"",0))=3,"Long-term (24 months and beyond)","")))</f>
        <v>Mid-term (next 12-24 months)</v>
      </c>
      <c r="E110" s="47" t="str" cm="1">
        <f t="array" ref="E110">INDEX(Data!IK2:IK1048576,MATCH(TRUE,Data!IK2:IK1048576&lt;&gt;"",0))</f>
        <v>TST</v>
      </c>
    </row>
    <row r="111" spans="3:5" ht="30" x14ac:dyDescent="0.25">
      <c r="C111" s="24" t="s">
        <v>903</v>
      </c>
      <c r="D111" s="45" t="str" cm="1">
        <f t="array" ref="D111">IF(INDEX(Data!ID2:ID1048576,MATCH(TRUE,Data!ID2:ID1048576&lt;&gt;"",0))=1,"Short-term (next 12 months)",
IF(INDEX(Data!ID2:ID1048576,MATCH(TRUE,Data!ID2:ID1048576&lt;&gt;"",0))=2,"Mid-term (next 12-24 months)",
IF(INDEX(Data!ID2:ID1048576,MATCH(TRUE,Data!ID2:ID1048576&lt;&gt;"",0))=3,"Long-term (24 months and beyond)","")))</f>
        <v>Mid-term (next 12-24 months)</v>
      </c>
      <c r="E111" s="47" t="str" cm="1">
        <f t="array" ref="E111">INDEX(Data!IL2:IL1048576,MATCH(TRUE,Data!IL2:IL1048576&lt;&gt;"",0))</f>
        <v>ADD</v>
      </c>
    </row>
    <row r="112" spans="3:5" x14ac:dyDescent="0.25">
      <c r="C112" s="24" t="s">
        <v>903</v>
      </c>
      <c r="D112" s="45" t="e" cm="1">
        <f t="array" ref="D112">IF(INDEX(Data!IE2:IE1048576,MATCH(TRUE,Data!IE2:IE1048576&lt;&gt;"",0))=1,"Short-term (next 12 months)",
IF(INDEX(Data!IE2:IE1048576,MATCH(TRUE,Data!IE2:IE1048576&lt;&gt;"",0))=2,"MIE-term (next 12-24 months)",
IF(INDEX(Data!IE2:IE1048576,MATCH(TRUE,Data!IE2:IE1048576&lt;&gt;"",0))=3,"Long-term (24 months and beyond)","")))</f>
        <v>#N/A</v>
      </c>
      <c r="E112" s="47" t="e" cm="1">
        <f t="array" ref="E112">INDEX(Data!IM2:IM1048576,MATCH(TRUE,Data!IM2:IM1048576&lt;&gt;"",0))</f>
        <v>#N/A</v>
      </c>
    </row>
    <row r="113" spans="3:5" x14ac:dyDescent="0.25">
      <c r="C113" s="24" t="s">
        <v>903</v>
      </c>
      <c r="D113" s="45" t="e" cm="1">
        <f t="array" ref="D113">IF(INDEX(Data!IF2:IF1048576,MATCH(TRUE,Data!IF2:IF1048576&lt;&gt;"",0))=1,"Short-term (next 12 months)",
IF(INDEX(Data!IF2:IF1048576,MATCH(TRUE,Data!IF2:IF1048576&lt;&gt;"",0))=2,"MIF-term (next 12-24 months)",
IF(INDEX(Data!IF2:IF1048576,MATCH(TRUE,Data!IF2:IF1048576&lt;&gt;"",0))=3,"Long-term (24 months and beyond)","")))</f>
        <v>#N/A</v>
      </c>
      <c r="E113" s="47" t="str" cm="1">
        <f t="array" ref="E113">INDEX(Data!IN2:IN1048576,MATCH(TRUE,Data!IN2:IN1048576&lt;&gt;"",0))</f>
        <v>End</v>
      </c>
    </row>
    <row r="118" spans="3:5" ht="15.6" thickBot="1" x14ac:dyDescent="0.3"/>
    <row r="119" spans="3:5" ht="35.4" thickBot="1" x14ac:dyDescent="0.3">
      <c r="C119" s="26" t="s">
        <v>954</v>
      </c>
      <c r="D119" s="44" t="s">
        <v>894</v>
      </c>
      <c r="E119" s="44" t="s">
        <v>895</v>
      </c>
    </row>
    <row r="120" spans="3:5" ht="30" x14ac:dyDescent="0.25">
      <c r="C120" s="24" t="s">
        <v>952</v>
      </c>
      <c r="D120" s="45" t="str" cm="1">
        <f t="array" ref="D120">IF(INDEX(Data!IR2:IR1048576,MATCH(TRUE,Data!IR2:IR1048576&lt;&gt;"",0))=1,"Short-term (next 12 months)",
IF(INDEX(Data!IR2:IR1048576,MATCH(TRUE,Data!IR2:IR1048576&lt;&gt;"",0))=2,"Mid-term (next 12-24 months)",
IF(INDEX(Data!IR2:IR1048576,MATCH(TRUE,Data!IR2:IR1048576&lt;&gt;"",0))=3,"Long-term (24 months and beyond)","")))</f>
        <v>Mid-term (next 12-24 months)</v>
      </c>
      <c r="E120" s="47" t="str" cm="1">
        <f t="array" ref="E120">INDEX(Data!JC2:JC1048576,MATCH(TRUE,Data!JC2:JC1048576&lt;&gt;"",0))</f>
        <v>SD</v>
      </c>
    </row>
    <row r="121" spans="3:5" ht="30" x14ac:dyDescent="0.25">
      <c r="C121" s="24" t="s">
        <v>953</v>
      </c>
      <c r="D121" s="45" t="str" cm="1">
        <f t="array" ref="D121">IF(INDEX(Data!IS2:IS1048576,MATCH(TRUE,Data!IS2:IS1048576&lt;&gt;"",0))=1,"Short-term (next 12 months)",
IF(INDEX(Data!IS2:IS1048576,MATCH(TRUE,Data!IS2:IS1048576&lt;&gt;"",0))=2,"Mid-term (next 12-24 months)",
IF(INDEX(Data!IS2:IS1048576,MATCH(TRUE,Data!IS2:IS1048576&lt;&gt;"",0))=3,"Long-term (24 months and beyond)","")))</f>
        <v>Mid-term (next 12-24 months)</v>
      </c>
      <c r="E121" s="47" t="str" cm="1">
        <f t="array" ref="E121">INDEX(Data!JD2:JD1048576,MATCH(TRUE,Data!JD2:JD1048576&lt;&gt;"",0))</f>
        <v>DD</v>
      </c>
    </row>
    <row r="122" spans="3:5" x14ac:dyDescent="0.25">
      <c r="C122" s="24" t="s">
        <v>955</v>
      </c>
      <c r="D122" s="45" t="e" cm="1">
        <f t="array" ref="D122">IF(INDEX(Data!IT2:IT1048576,MATCH(TRUE,Data!IT2:IT1048576&lt;&gt;"",0))=1,"Short-term (next 12 months)",
IF(INDEX(Data!IT2:IT1048576,MATCH(TRUE,Data!IT2:IT1048576&lt;&gt;"",0))=2,"Mid-term (next 12-24 months)",
IF(INDEX(Data!IT2:IT1048576,MATCH(TRUE,Data!IT2:IT1048576&lt;&gt;"",0))=3,"Long-term (24 months and beyond)","")))</f>
        <v>#N/A</v>
      </c>
      <c r="E122" s="47" t="e" cm="1">
        <f t="array" ref="E122">INDEX(Data!JE2:JE1048576,MATCH(TRUE,Data!JE2:JE1048576&lt;&gt;"",0))</f>
        <v>#N/A</v>
      </c>
    </row>
    <row r="123" spans="3:5" ht="30" x14ac:dyDescent="0.25">
      <c r="C123" s="24" t="s">
        <v>956</v>
      </c>
      <c r="D123" s="45" t="str" cm="1">
        <f t="array" ref="D123">IF(INDEX(Data!IU2:IU1048576,MATCH(TRUE,Data!IU2:IU1048576&lt;&gt;"",0))=1,"Short-term (next 12 months)",
IF(INDEX(Data!IU2:IU1048576,MATCH(TRUE,Data!IU2:IU1048576&lt;&gt;"",0))=2,"Mid-term (next 12-24 months)",
IF(INDEX(Data!IU2:IU1048576,MATCH(TRUE,Data!IU2:IU1048576&lt;&gt;"",0))=3,"Long-term (24 months and beyond)","")))</f>
        <v>Mid-term (next 12-24 months)</v>
      </c>
      <c r="E123" s="47" t="str" cm="1">
        <f t="array" ref="E123">INDEX(Data!JF2:JF1048576,MATCH(TRUE,Data!JF2:JF1048576&lt;&gt;"",0))</f>
        <v>DISREGARD</v>
      </c>
    </row>
    <row r="124" spans="3:5" ht="30" x14ac:dyDescent="0.25">
      <c r="C124" s="24" t="s">
        <v>957</v>
      </c>
      <c r="D124" s="45" t="e" cm="1">
        <f t="array" ref="D124">IF(INDEX(Data!IV2:IV1048576,MATCH(TRUE,Data!IV2:IV1048576&lt;&gt;"",0))=1,"Short-term (next 12 months)",
IF(INDEX(Data!IV2:IV1048576,MATCH(TRUE,Data!IV2:IV1048576&lt;&gt;"",0))=2,"Mid-term (next 12-24 months)",
IF(INDEX(Data!IV2:IV1048576,MATCH(TRUE,Data!IV2:IV1048576&lt;&gt;"",0))=3,"Long-term (24 months and beyond)","")))</f>
        <v>#N/A</v>
      </c>
      <c r="E124" s="47" t="e" cm="1">
        <f t="array" ref="E124">INDEX(Data!JG2:JG1048576,MATCH(TRUE,Data!JG2:JG1048576&lt;&gt;"",0))</f>
        <v>#N/A</v>
      </c>
    </row>
    <row r="125" spans="3:5" ht="30" x14ac:dyDescent="0.25">
      <c r="C125" s="24" t="s">
        <v>958</v>
      </c>
      <c r="D125" s="45" t="str" cm="1">
        <f t="array" ref="D125">IF(INDEX(Data!IW2:IW1048576,MATCH(TRUE,Data!IW2:IW1048576&lt;&gt;"",0))=1,"Short-term (next 12 months)",
IF(INDEX(Data!IW2:IW1048576,MATCH(TRUE,Data!IW2:IW1048576&lt;&gt;"",0))=2,"Mid-term (next 12-24 months)",
IF(INDEX(Data!IW2:IW1048576,MATCH(TRUE,Data!IW2:IW1048576&lt;&gt;"",0))=3,"Long-term (24 months and beyond)","")))</f>
        <v>Short-term (next 12 months)</v>
      </c>
      <c r="E125" s="47" t="e" cm="1">
        <f t="array" ref="E125">INDEX(Data!JH2:JH1048576,MATCH(TRUE,Data!JH2:JH1048576&lt;&gt;"",0))</f>
        <v>#N/A</v>
      </c>
    </row>
    <row r="126" spans="3:5" ht="30" x14ac:dyDescent="0.25">
      <c r="C126" s="24" t="s">
        <v>959</v>
      </c>
      <c r="D126" s="45" t="str" cm="1">
        <f t="array" ref="D126">IF(INDEX(Data!IX2:IX1048576,MATCH(TRUE,Data!IX2:IX1048576&lt;&gt;"",0))=1,"Short-term (next 12 months)",
IF(INDEX(Data!IX2:IX1048576,MATCH(TRUE,Data!IX2:IX1048576&lt;&gt;"",0))=2,"Mid-term (next 12-24 months)",
IF(INDEX(Data!IX2:IX1048576,MATCH(TRUE,Data!IX2:IX1048576&lt;&gt;"",0))=3,"Long-term (24 months and beyond)","")))</f>
        <v>Short-term (next 12 months)</v>
      </c>
      <c r="E126" s="47" t="str" cm="1">
        <f t="array" ref="E126">INDEX(Data!JI2:JI1048576,MATCH(TRUE,Data!JI2:JI1048576&lt;&gt;"",0))</f>
        <v>S</v>
      </c>
    </row>
    <row r="127" spans="3:5" ht="30" x14ac:dyDescent="0.25">
      <c r="C127" s="24" t="s">
        <v>960</v>
      </c>
      <c r="D127" s="45" t="e" cm="1">
        <f t="array" ref="D127">IF(INDEX(Data!IY2:IY1048576,MATCH(TRUE,Data!IY2:IY1048576&lt;&gt;"",0))=1,"Short-term (next 12 months)",
IF(INDEX(Data!IY2:IY1048576,MATCH(TRUE,Data!IY2:IY1048576&lt;&gt;"",0))=2,"Mid-term (next 12-24 months)",
IF(INDEX(Data!IY2:IY1048576,MATCH(TRUE,Data!IY2:IY1048576&lt;&gt;"",0))=3,"Long-term (24 months and beyond)","")))</f>
        <v>#N/A</v>
      </c>
      <c r="E127" s="47" t="e" cm="1">
        <f t="array" ref="E127">INDEX(Data!JJ2:JJ1048576,MATCH(TRUE,Data!JJ2:JJ1048576&lt;&gt;"",0))</f>
        <v>#N/A</v>
      </c>
    </row>
    <row r="128" spans="3:5" ht="30" x14ac:dyDescent="0.25">
      <c r="C128" s="24" t="s">
        <v>903</v>
      </c>
      <c r="D128" s="45" t="str" cm="1">
        <f t="array" ref="D128">IF(INDEX(Data!IZ2:IZ1048576,MATCH(TRUE,Data!IZ2:IZ1048576&lt;&gt;"",0))=1,"Short-term (next 12 months)",
IF(INDEX(Data!IZ2:IZ1048576,MATCH(TRUE,Data!IZ2:IZ1048576&lt;&gt;"",0))=2,"Mid-term (next 12-24 months)",
IF(INDEX(Data!IZ2:IZ1048576,MATCH(TRUE,Data!IZ2:IZ1048576&lt;&gt;"",0))=3,"Long-term (24 months and beyond)","")))</f>
        <v>Mid-term (next 12-24 months)</v>
      </c>
      <c r="E128" s="47" t="str" cm="1">
        <f t="array" ref="E128">INDEX(Data!JK2:JK1048576,MATCH(TRUE,Data!JK2:JK1048576&lt;&gt;"",0))</f>
        <v>Dont ADD</v>
      </c>
    </row>
    <row r="129" spans="3:5" x14ac:dyDescent="0.25">
      <c r="C129" s="24" t="s">
        <v>903</v>
      </c>
      <c r="D129" s="45" t="e" cm="1">
        <f t="array" ref="D129">IF(INDEX(Data!JA2:JA1048576,MATCH(TRUE,Data!JA2:JA1048576&lt;&gt;"",0))=1,"Short-term (next 12 months)",
IF(INDEX(Data!JA2:JA1048576,MATCH(TRUE,Data!JA2:JA1048576&lt;&gt;"",0))=2,"Mid-term (next 12-24 months)",
IF(INDEX(Data!JA2:JA1048576,MATCH(TRUE,Data!JA2:JA1048576&lt;&gt;"",0))=3,"Long-term (24 months and beyond)","")))</f>
        <v>#N/A</v>
      </c>
      <c r="E129" s="47" t="e" cm="1">
        <f t="array" ref="E129">INDEX(Data!JL2:JL1048576,MATCH(TRUE,Data!JL2:JL1048576&lt;&gt;"",0))</f>
        <v>#N/A</v>
      </c>
    </row>
    <row r="130" spans="3:5" x14ac:dyDescent="0.25">
      <c r="C130" s="24" t="s">
        <v>903</v>
      </c>
      <c r="D130" s="45" t="e" cm="1">
        <f t="array" ref="D130">IF(INDEX(Data!JB2:JB1048576,MATCH(TRUE,Data!JB2:JB1048576&lt;&gt;"",0))=1,"Short-term (next 12 months)",
IF(INDEX(Data!JB2:JB1048576,MATCH(TRUE,Data!JB2:JB1048576&lt;&gt;"",0))=2,"Mid-term (next 12-24 months)",
IF(INDEX(Data!JB2:JB1048576,MATCH(TRUE,Data!JB2:JB1048576&lt;&gt;"",0))=3,"Long-term (24 months and beyond)","")))</f>
        <v>#N/A</v>
      </c>
      <c r="E130" s="47" t="e" cm="1">
        <f t="array" ref="E130">INDEX(Data!JM2:JM1048576,MATCH(TRUE,Data!JM2:JM1048576&lt;&gt;"",0))</f>
        <v>#N/A</v>
      </c>
    </row>
    <row r="134" spans="3:5" ht="15.6" thickBot="1" x14ac:dyDescent="0.3"/>
    <row r="135" spans="3:5" ht="18" thickBot="1" x14ac:dyDescent="0.3">
      <c r="C135" s="26" t="s">
        <v>961</v>
      </c>
      <c r="D135" s="44" t="s">
        <v>894</v>
      </c>
      <c r="E135" s="44" t="s">
        <v>895</v>
      </c>
    </row>
    <row r="136" spans="3:5" ht="30" x14ac:dyDescent="0.25">
      <c r="C136" s="24" t="s">
        <v>962</v>
      </c>
      <c r="D136" s="45" t="e" cm="1">
        <f t="array" ref="D136">IF(INDEX(Data!JQ2:JQ1048576,MATCH(TRUE,Data!JQ2:JQ1048576&lt;&gt;"",0))=1,"Short-term (next 12 months)",
IF(INDEX(Data!JQ2:JQ1048576,MATCH(TRUE,Data!JQ2:JQ1048576&lt;&gt;"",0))=2,"Mid-term (next 12-24 months)",
IF(INDEX(Data!JQ2:JQ1048576,MATCH(TRUE,Data!JQ2:JQ1048576&lt;&gt;"",0))=3,"Long-term (24 months and beyond)","")))</f>
        <v>#N/A</v>
      </c>
      <c r="E136" s="47" t="e" cm="1">
        <f t="array" ref="E136">INDEX(Data!JZ2:JZ1048576,MATCH(TRUE,Data!JZ2:JZ1048576&lt;&gt;"",0))</f>
        <v>#N/A</v>
      </c>
    </row>
    <row r="137" spans="3:5" ht="30" x14ac:dyDescent="0.25">
      <c r="C137" s="24" t="s">
        <v>963</v>
      </c>
      <c r="D137" s="45" t="e" cm="1">
        <f t="array" ref="D137">IF(INDEX(Data!JR2:JR1048576,MATCH(TRUE,Data!JR2:JR1048576&lt;&gt;"",0))=1,"Short-term (next 12 months)",
IF(INDEX(Data!JR2:JR1048576,MATCH(TRUE,Data!JR2:JR1048576&lt;&gt;"",0))=2,"Mid-term (next 12-24 months)",
IF(INDEX(Data!JR2:JR1048576,MATCH(TRUE,Data!JR2:JR1048576&lt;&gt;"",0))=3,"Long-term (24 months and beyond)","")))</f>
        <v>#N/A</v>
      </c>
      <c r="E137" s="47" t="e" cm="1">
        <f t="array" ref="E137">INDEX(Data!KA2:KA1048576,MATCH(TRUE,Data!KA2:KA1048576&lt;&gt;"",0))</f>
        <v>#N/A</v>
      </c>
    </row>
    <row r="138" spans="3:5" x14ac:dyDescent="0.25">
      <c r="C138" s="24" t="s">
        <v>964</v>
      </c>
      <c r="D138" s="45" t="e" cm="1">
        <f t="array" ref="D138">IF(INDEX(Data!JS2:JS1048576,MATCH(TRUE,Data!JS2:JS1048576&lt;&gt;"",0))=1,"Short-term (next 12 months)",
IF(INDEX(Data!JS2:JS1048576,MATCH(TRUE,Data!JS2:JS1048576&lt;&gt;"",0))=2,"Mid-term (next 12-24 months)",
IF(INDEX(Data!JS2:JS1048576,MATCH(TRUE,Data!JS2:JS1048576&lt;&gt;"",0))=3,"Long-term (24 months and beyond)","")))</f>
        <v>#N/A</v>
      </c>
      <c r="E138" s="47" t="e" cm="1">
        <f t="array" ref="E138">INDEX(Data!KB2:KB1048576,MATCH(TRUE,Data!KB2:KB1048576&lt;&gt;"",0))</f>
        <v>#N/A</v>
      </c>
    </row>
    <row r="139" spans="3:5" ht="45" x14ac:dyDescent="0.25">
      <c r="C139" s="24" t="s">
        <v>965</v>
      </c>
      <c r="D139" s="45" t="str" cm="1">
        <f t="array" ref="D139">IF(INDEX(Data!JT2:JT1048576,MATCH(TRUE,Data!JT2:JT1048576&lt;&gt;"",0))=1,"Short-term (next 12 months)",
IF(INDEX(Data!JT2:JT1048576,MATCH(TRUE,Data!JT2:JT1048576&lt;&gt;"",0))=2,"Mid-term (next 12-24 months)",
IF(INDEX(Data!JT2:JT1048576,MATCH(TRUE,Data!JT2:JT1048576&lt;&gt;"",0))=3,"Long-term (24 months and beyond)","")))</f>
        <v>Mid-term (next 12-24 months)</v>
      </c>
      <c r="E139" s="47" t="e" cm="1">
        <f t="array" ref="E139">INDEX(Data!KC2:KC1048576,MATCH(TRUE,Data!KC2:KC1048576&lt;&gt;"",0))</f>
        <v>#N/A</v>
      </c>
    </row>
    <row r="140" spans="3:5" ht="30" x14ac:dyDescent="0.25">
      <c r="C140" s="24" t="s">
        <v>966</v>
      </c>
      <c r="D140" s="45" t="str" cm="1">
        <f t="array" ref="D140">IF(INDEX(Data!JU2:JU1048576,MATCH(TRUE,Data!JU2:JU1048576&lt;&gt;"",0))=1,"Short-term (next 12 months)",
IF(INDEX(Data!JU2:JU1048576,MATCH(TRUE,Data!JU2:JU1048576&lt;&gt;"",0))=2,"Mid-term (next 12-24 months)",
IF(INDEX(Data!JU2:JU1048576,MATCH(TRUE,Data!JU2:JU1048576&lt;&gt;"",0))=3,"Long-term (24 months and beyond)","")))</f>
        <v>Mid-term (next 12-24 months)</v>
      </c>
      <c r="E140" s="47" t="e" cm="1">
        <f t="array" ref="E140">INDEX(Data!KD2:KD1048576,MATCH(TRUE,Data!KD2:KD1048576&lt;&gt;"",0))</f>
        <v>#N/A</v>
      </c>
    </row>
    <row r="141" spans="3:5" ht="30" x14ac:dyDescent="0.25">
      <c r="C141" s="24" t="s">
        <v>967</v>
      </c>
      <c r="D141" s="45" t="e" cm="1">
        <f t="array" ref="D141">IF(INDEX(Data!JV2:JV1048576,MATCH(TRUE,Data!JV2:JV1048576&lt;&gt;"",0))=1,"Short-term (next 12 months)",
IF(INDEX(Data!JV2:JV1048576,MATCH(TRUE,Data!JV2:JV1048576&lt;&gt;"",0))=2,"Mid-term (next 12-24 months)",
IF(INDEX(Data!JV2:JV1048576,MATCH(TRUE,Data!JV2:JV1048576&lt;&gt;"",0))=3,"Long-term (24 months and beyond)","")))</f>
        <v>#N/A</v>
      </c>
      <c r="E141" s="47" t="e" cm="1">
        <f t="array" ref="E141">INDEX(Data!KE2:KE1048576,MATCH(TRUE,Data!KE2:KE1048576&lt;&gt;"",0))</f>
        <v>#N/A</v>
      </c>
    </row>
    <row r="142" spans="3:5" x14ac:dyDescent="0.25">
      <c r="C142" s="24" t="s">
        <v>903</v>
      </c>
      <c r="D142" s="45" t="e" cm="1">
        <f t="array" ref="D142">IF(INDEX(Data!JW2:JW1048576,MATCH(TRUE,Data!JW2:JW1048576&lt;&gt;"",0))=1,"Short-term (next 12 months)",
IF(INDEX(Data!JW2:JW1048576,MATCH(TRUE,Data!JW2:JW1048576&lt;&gt;"",0))=2,"Mid-term (next 12-24 months)",
IF(INDEX(Data!JW2:JW1048576,MATCH(TRUE,Data!JW2:JW1048576&lt;&gt;"",0))=3,"Long-term (24 months and beyond)","")))</f>
        <v>#N/A</v>
      </c>
      <c r="E142" s="47" t="e" cm="1">
        <f t="array" ref="E142">INDEX(Data!KF2:KF1048576,MATCH(TRUE,Data!KF2:KF1048576&lt;&gt;"",0))</f>
        <v>#N/A</v>
      </c>
    </row>
    <row r="143" spans="3:5" x14ac:dyDescent="0.25">
      <c r="C143" s="24" t="s">
        <v>903</v>
      </c>
      <c r="D143" s="45" t="e" cm="1">
        <f t="array" ref="D143">IF(INDEX(Data!JX2:JX1048576,MATCH(TRUE,Data!JX2:JX1048576&lt;&gt;"",0))=1,"Short-term (next 12 months)",
IF(INDEX(Data!JX2:JX1048576,MATCH(TRUE,Data!JX2:JX1048576&lt;&gt;"",0))=2,"Mid-term (next 12-24 months)",
IF(INDEX(Data!JX2:JX1048576,MATCH(TRUE,Data!JX2:JX1048576&lt;&gt;"",0))=3,"Long-term (24 months and beyond)","")))</f>
        <v>#N/A</v>
      </c>
      <c r="E143" s="47" t="e" cm="1">
        <f t="array" ref="E143">INDEX(Data!KG2:KG1048576,MATCH(TRUE,Data!KG2:KG1048576&lt;&gt;"",0))</f>
        <v>#N/A</v>
      </c>
    </row>
    <row r="144" spans="3:5" x14ac:dyDescent="0.25">
      <c r="C144" s="24" t="s">
        <v>903</v>
      </c>
      <c r="D144" s="45" t="e" cm="1">
        <f t="array" ref="D144">IF(INDEX(Data!JY2:JY1048576,MATCH(TRUE,Data!JY2:JY1048576&lt;&gt;"",0))=1,"Short-term (next 12 months)",
IF(INDEX(Data!JY2:JY1048576,MATCH(TRUE,Data!JY2:JY1048576&lt;&gt;"",0))=2,"Mid-term (next 12-24 months)",
IF(INDEX(Data!JY2:JY1048576,MATCH(TRUE,Data!JY2:JY1048576&lt;&gt;"",0))=3,"Long-term (24 months and beyond)","")))</f>
        <v>#N/A</v>
      </c>
      <c r="E144" s="47" t="str" cm="1">
        <f t="array" ref="E144">INDEX(Data!KH2:KH1048576,MATCH(TRUE,Data!KH2:KH1048576&lt;&gt;"",0))</f>
        <v>END</v>
      </c>
    </row>
    <row r="149" spans="3:5" ht="15.6" thickBot="1" x14ac:dyDescent="0.3"/>
    <row r="150" spans="3:5" ht="35.4" thickBot="1" x14ac:dyDescent="0.3">
      <c r="C150" s="26" t="s">
        <v>968</v>
      </c>
      <c r="D150" s="44" t="s">
        <v>894</v>
      </c>
      <c r="E150" s="44" t="s">
        <v>895</v>
      </c>
    </row>
    <row r="151" spans="3:5" ht="30" x14ac:dyDescent="0.25">
      <c r="C151" s="24" t="s">
        <v>969</v>
      </c>
      <c r="D151" s="45" t="str" cm="1">
        <f t="array" ref="D151">IF(INDEX(Data!KL2:KL1048576,MATCH(TRUE,Data!KL2:KL1048576&lt;&gt;"",0))=1,"Short-term (next 12 months)",
IF(INDEX(Data!KL2:KL1048576,MATCH(TRUE,Data!KL2:KL1048576&lt;&gt;"",0))=2,"Mid-term (next 12-24 months)",
IF(INDEX(Data!KL2:KL1048576,MATCH(TRUE,Data!KL2:KL1048576&lt;&gt;"",0))=3,"Long-term (24 months and beyond)","")))</f>
        <v>Short-term (next 12 months)</v>
      </c>
      <c r="E151" s="47" t="e" cm="1">
        <f t="array" ref="E151">INDEX(Data!KZ2:KZ1048576,MATCH(TRUE,Data!KZ2:KZ1048576&lt;&gt;"",0))</f>
        <v>#N/A</v>
      </c>
    </row>
    <row r="152" spans="3:5" ht="30" x14ac:dyDescent="0.25">
      <c r="C152" s="24" t="s">
        <v>970</v>
      </c>
      <c r="D152" s="45" t="str" cm="1">
        <f t="array" ref="D152">IF(INDEX(Data!KM2:KM1048576,MATCH(TRUE,Data!KM2:KM1048576&lt;&gt;"",0))=1,"Short-term (next 12 months)",
IF(INDEX(Data!KM2:KM1048576,MATCH(TRUE,Data!KM2:KM1048576&lt;&gt;"",0))=2,"Mid-term (next 12-24 months)",
IF(INDEX(Data!KM2:KM1048576,MATCH(TRUE,Data!KM2:KM1048576&lt;&gt;"",0))=3,"Long-term (24 months and beyond)","")))</f>
        <v>Short-term (next 12 months)</v>
      </c>
      <c r="E152" s="47" t="e" cm="1">
        <f t="array" ref="E152">INDEX(Data!LA2:LA1048576,MATCH(TRUE,Data!LA2:LA1048576&lt;&gt;"",0))</f>
        <v>#N/A</v>
      </c>
    </row>
    <row r="153" spans="3:5" x14ac:dyDescent="0.25">
      <c r="C153" s="24" t="s">
        <v>971</v>
      </c>
      <c r="D153" s="45" t="e" cm="1">
        <f t="array" ref="D153">IF(INDEX(Data!KN2:KN1048576,MATCH(TRUE,Data!KN2:KN1048576&lt;&gt;"",0))=1,"Short-term (next 12 months)",
IF(INDEX(Data!KN2:KN1048576,MATCH(TRUE,Data!KN2:KN1048576&lt;&gt;"",0))=2,"Mid-term (next 12-24 months)",
IF(INDEX(Data!KN2:KN1048576,MATCH(TRUE,Data!KN2:KN1048576&lt;&gt;"",0))=3,"Long-term (24 months and beyond)","")))</f>
        <v>#N/A</v>
      </c>
      <c r="E153" s="47" t="e" cm="1">
        <f t="array" ref="E153">INDEX(Data!LB2:LB1048576,MATCH(TRUE,Data!LB2:LB1048576&lt;&gt;"",0))</f>
        <v>#N/A</v>
      </c>
    </row>
    <row r="154" spans="3:5" x14ac:dyDescent="0.25">
      <c r="C154" s="24" t="s">
        <v>972</v>
      </c>
      <c r="D154" s="45" t="e" cm="1">
        <f t="array" ref="D154">IF(INDEX(Data!KO2:KO1048576,MATCH(TRUE,Data!KO2:KO1048576&lt;&gt;"",0))=1,"Short-term (next 12 months)",
IF(INDEX(Data!KO2:KO1048576,MATCH(TRUE,Data!KO2:KO1048576&lt;&gt;"",0))=2,"Mid-term (next 12-24 months)",
IF(INDEX(Data!KO2:KO1048576,MATCH(TRUE,Data!KO2:KO1048576&lt;&gt;"",0))=3,"Long-term (24 months and beyond)","")))</f>
        <v>#N/A</v>
      </c>
      <c r="E154" s="47" t="e" cm="1">
        <f t="array" ref="E154">INDEX(Data!LC2:LC1048576,MATCH(TRUE,Data!LC2:LC1048576&lt;&gt;"",0))</f>
        <v>#N/A</v>
      </c>
    </row>
    <row r="155" spans="3:5" ht="30" x14ac:dyDescent="0.25">
      <c r="C155" s="24" t="s">
        <v>973</v>
      </c>
      <c r="D155" s="45" t="str" cm="1">
        <f t="array" ref="D155">IF(INDEX(Data!KP2:KP1048576,MATCH(TRUE,Data!KP2:KP1048576&lt;&gt;"",0))=1,"Short-term (next 12 months)",
IF(INDEX(Data!KP2:KP1048576,MATCH(TRUE,Data!KP2:KP1048576&lt;&gt;"",0))=2,"Mid-term (next 12-24 months)",
IF(INDEX(Data!KP2:KP1048576,MATCH(TRUE,Data!KP2:KP1048576&lt;&gt;"",0))=3,"Long-term (24 months and beyond)","")))</f>
        <v>Short-term (next 12 months)</v>
      </c>
      <c r="E155" s="47" t="e" cm="1">
        <f t="array" ref="E155">INDEX(Data!LD2:LD1048576,MATCH(TRUE,Data!LD2:LD1048576&lt;&gt;"",0))</f>
        <v>#N/A</v>
      </c>
    </row>
    <row r="156" spans="3:5" ht="30" x14ac:dyDescent="0.25">
      <c r="C156" s="24" t="s">
        <v>974</v>
      </c>
      <c r="D156" s="45" t="e" cm="1">
        <f t="array" ref="D156">IF(INDEX(Data!KQ2:KQ1048576,MATCH(TRUE,Data!KQ2:KQ1048576&lt;&gt;"",0))=1,"Short-term (next 12 months)",
IF(INDEX(Data!KQ2:KQ1048576,MATCH(TRUE,Data!KQ2:KQ1048576&lt;&gt;"",0))=2,"Mid-term (next 12-24 months)",
IF(INDEX(Data!KQ2:KQ1048576,MATCH(TRUE,Data!KQ2:KQ1048576&lt;&gt;"",0))=3,"Long-term (24 months and beyond)","")))</f>
        <v>#N/A</v>
      </c>
      <c r="E156" s="47" t="e" cm="1">
        <f t="array" ref="E156">INDEX(Data!LE2:LE1048576,MATCH(TRUE,Data!LE2:LE1048576&lt;&gt;"",0))</f>
        <v>#N/A</v>
      </c>
    </row>
    <row r="157" spans="3:5" ht="30" x14ac:dyDescent="0.25">
      <c r="C157" s="24" t="s">
        <v>975</v>
      </c>
      <c r="D157" s="45" t="e" cm="1">
        <f t="array" ref="D157">IF(INDEX(Data!KR2:KR1048576,MATCH(TRUE,Data!KR2:KR1048576&lt;&gt;"",0))=1,"Short-term (next 12 months)",
IF(INDEX(Data!KR2:KR1048576,MATCH(TRUE,Data!KR2:KR1048576&lt;&gt;"",0))=2,"Mid-term (next 12-24 months)",
IF(INDEX(Data!KR2:KR1048576,MATCH(TRUE,Data!KR2:KR1048576&lt;&gt;"",0))=3,"Long-term (24 months and beyond)","")))</f>
        <v>#N/A</v>
      </c>
      <c r="E157" s="47" t="e" cm="1">
        <f t="array" ref="E157">INDEX(Data!LF2:LF1048576,MATCH(TRUE,Data!LF2:LF1048576&lt;&gt;"",0))</f>
        <v>#N/A</v>
      </c>
    </row>
    <row r="158" spans="3:5" ht="30" x14ac:dyDescent="0.25">
      <c r="C158" s="24" t="s">
        <v>976</v>
      </c>
      <c r="D158" s="45" t="str" cm="1">
        <f t="array" ref="D158">IF(INDEX(Data!KS2:KS1048576,MATCH(TRUE,Data!KS2:KS1048576&lt;&gt;"",0))=1,"Short-term (next 12 months)",
IF(INDEX(Data!KS2:KS1048576,MATCH(TRUE,Data!KS2:KS1048576&lt;&gt;"",0))=2,"Mid-term (next 12-24 months)",
IF(INDEX(Data!KS2:KS1048576,MATCH(TRUE,Data!KS2:KS1048576&lt;&gt;"",0))=3,"Long-term (24 months and beyond)","")))</f>
        <v>Short-term (next 12 months)</v>
      </c>
      <c r="E158" s="47" t="e" cm="1">
        <f t="array" ref="E158">INDEX(Data!LG2:LG1048576,MATCH(TRUE,Data!LG2:LG1048576&lt;&gt;"",0))</f>
        <v>#N/A</v>
      </c>
    </row>
    <row r="159" spans="3:5" ht="30" x14ac:dyDescent="0.25">
      <c r="C159" s="24" t="s">
        <v>977</v>
      </c>
      <c r="D159" s="45" t="str" cm="1">
        <f t="array" ref="D159">IF(INDEX(Data!KT2:KT1048576,MATCH(TRUE,Data!KT2:KT1048576&lt;&gt;"",0))=1,"Short-term (next 12 months)",
IF(INDEX(Data!KT2:KT1048576,MATCH(TRUE,Data!KT2:KT1048576&lt;&gt;"",0))=2,"Mid-term (next 12-24 months)",
IF(INDEX(Data!KT2:KT1048576,MATCH(TRUE,Data!KT2:KT1048576&lt;&gt;"",0))=3,"Long-term (24 months and beyond)","")))</f>
        <v>Short-term (next 12 months)</v>
      </c>
      <c r="E159" s="47" t="str" cm="1">
        <f t="array" ref="E159">INDEX(Data!LH2:LH1048576,MATCH(TRUE,Data!LH2:LH1048576&lt;&gt;"",0))</f>
        <v>Test</v>
      </c>
    </row>
    <row r="160" spans="3:5" x14ac:dyDescent="0.25">
      <c r="C160" s="24" t="s">
        <v>978</v>
      </c>
      <c r="D160" s="45" t="e" cm="1">
        <f t="array" ref="D160">IF(INDEX(Data!KU2:KU1048576,MATCH(TRUE,Data!KU2:KU1048576&lt;&gt;"",0))=1,"Short-term (next 12 months)",
IF(INDEX(Data!KU2:KU1048576,MATCH(TRUE,Data!KU2:KU1048576&lt;&gt;"",0))=2,"Mid-term (next 12-24 months)",
IF(INDEX(Data!KU2:KU1048576,MATCH(TRUE,Data!KU2:KU1048576&lt;&gt;"",0))=3,"Long-term (24 months and beyond)","")))</f>
        <v>#N/A</v>
      </c>
      <c r="E160" s="47" t="e" cm="1">
        <f t="array" ref="E160">INDEX(Data!LI2:LI1048576,MATCH(TRUE,Data!LI2:LI1048576&lt;&gt;"",0))</f>
        <v>#N/A</v>
      </c>
    </row>
    <row r="161" spans="3:5" x14ac:dyDescent="0.25">
      <c r="C161" s="24" t="s">
        <v>979</v>
      </c>
      <c r="D161" s="45" t="e" cm="1">
        <f t="array" ref="D161">IF(INDEX(Data!KV2:KV1048576,MATCH(TRUE,Data!KV2:KV1048576&lt;&gt;"",0))=1,"Short-term (next 12 months)",
IF(INDEX(Data!KV2:KV1048576,MATCH(TRUE,Data!KV2:KV1048576&lt;&gt;"",0))=2,"Mid-term (next 12-24 months)",
IF(INDEX(Data!KV2:KV1048576,MATCH(TRUE,Data!KV2:KV1048576&lt;&gt;"",0))=3,"Long-term (24 months and beyond)","")))</f>
        <v>#N/A</v>
      </c>
      <c r="E161" s="47" t="e" cm="1">
        <f t="array" ref="E161">INDEX(Data!LJ2:LJ1048576,MATCH(TRUE,Data!LJ2:LJ1048576&lt;&gt;"",0))</f>
        <v>#N/A</v>
      </c>
    </row>
    <row r="162" spans="3:5" x14ac:dyDescent="0.25">
      <c r="C162" s="24" t="s">
        <v>903</v>
      </c>
      <c r="D162" s="45" t="e" cm="1">
        <f t="array" ref="D162">IF(INDEX(Data!KW2:KW1048576,MATCH(TRUE,Data!KW2:KW1048576&lt;&gt;"",0))=1,"Short-term (next 12 months)",
IF(INDEX(Data!KW2:KW1048576,MATCH(TRUE,Data!KW2:KW1048576&lt;&gt;"",0))=2,"Mid-term (next 12-24 months)",
IF(INDEX(Data!KW2:KW1048576,MATCH(TRUE,Data!KW2:KW1048576&lt;&gt;"",0))=3,"Long-term (24 months and beyond)","")))</f>
        <v>#N/A</v>
      </c>
      <c r="E162" s="47" t="e" cm="1">
        <f t="array" ref="E162">INDEX(Data!LK2:LK1048576,MATCH(TRUE,Data!LK2:LK1048576&lt;&gt;"",0))</f>
        <v>#N/A</v>
      </c>
    </row>
    <row r="163" spans="3:5" x14ac:dyDescent="0.25">
      <c r="C163" s="24" t="s">
        <v>903</v>
      </c>
      <c r="D163" s="45" t="e" cm="1">
        <f t="array" ref="D163">IF(INDEX(Data!KX2:KX1048576,MATCH(TRUE,Data!KX2:KX1048576&lt;&gt;"",0))=1,"Short-term (next 12 months)",
IF(INDEX(Data!KX2:KX1048576,MATCH(TRUE,Data!KX2:KX1048576&lt;&gt;"",0))=2,"Mid-term (next 12-24 months)",
IF(INDEX(Data!KX2:KX1048576,MATCH(TRUE,Data!KX2:KX1048576&lt;&gt;"",0))=3,"Long-term (24 months and beyond)","")))</f>
        <v>#N/A</v>
      </c>
      <c r="E163" s="47" t="e" cm="1">
        <f t="array" ref="E163">INDEX(Data!LL2:LL1048576,MATCH(TRUE,Data!LL2:LL1048576&lt;&gt;"",0))</f>
        <v>#N/A</v>
      </c>
    </row>
    <row r="164" spans="3:5" ht="30" x14ac:dyDescent="0.25">
      <c r="C164" s="24" t="s">
        <v>903</v>
      </c>
      <c r="D164" s="45" t="str" cm="1">
        <f t="array" ref="D164">IF(INDEX(Data!KY2:KY1048576,MATCH(TRUE,Data!KY2:KY1048576&lt;&gt;"",0))=1,"Short-term (next 12 months)",
IF(INDEX(Data!KY2:KY1048576,MATCH(TRUE,Data!KY2:KY1048576&lt;&gt;"",0))=2,"Mid-term (next 12-24 months)",
IF(INDEX(Data!KY2:KY1048576,MATCH(TRUE,Data!KY2:KY1048576&lt;&gt;"",0))=3,"Long-term (24 months and beyond)","")))</f>
        <v>Short-term (next 12 months)</v>
      </c>
      <c r="E164" s="47" t="str" cm="1">
        <f t="array" ref="E164">INDEX(Data!LM2:LM1048576,MATCH(TRUE,Data!LM2:LM1048576&lt;&gt;"",0))</f>
        <v>DS</v>
      </c>
    </row>
    <row r="169" spans="3:5" ht="15.6" thickBot="1" x14ac:dyDescent="0.3"/>
    <row r="170" spans="3:5" ht="18" thickBot="1" x14ac:dyDescent="0.3">
      <c r="C170" s="26" t="s">
        <v>980</v>
      </c>
      <c r="D170" s="44" t="s">
        <v>894</v>
      </c>
      <c r="E170" s="44" t="s">
        <v>895</v>
      </c>
    </row>
    <row r="171" spans="3:5" ht="30" x14ac:dyDescent="0.25">
      <c r="C171" s="24" t="s">
        <v>981</v>
      </c>
      <c r="D171" s="45" t="e" cm="1">
        <f t="array" ref="D171">IF(INDEX(Data!LQ2:LQ1048576,MATCH(TRUE,Data!LQ2:LQ1048576&lt;&gt;"",0))=1,"Short-term (next 12 months)",
IF(INDEX(Data!LQ2:LQ1048576,MATCH(TRUE,Data!LQ2:LQ1048576&lt;&gt;"",0))=2,"Mid-term (next 12-24 months)",
IF(INDEX(Data!LQ2:LQ1048576,MATCH(TRUE,Data!LQ2:LQ1048576&lt;&gt;"",0))=3,"Long-term (24 months and beyond)","")))</f>
        <v>#N/A</v>
      </c>
      <c r="E171" s="47" t="e" cm="1">
        <f t="array" ref="E171">INDEX(Data!LW2:LW1048576,MATCH(TRUE,Data!LW2:LW1048576&lt;&gt;"",0))</f>
        <v>#N/A</v>
      </c>
    </row>
    <row r="172" spans="3:5" ht="30" x14ac:dyDescent="0.25">
      <c r="C172" s="24" t="s">
        <v>982</v>
      </c>
      <c r="D172" s="45" t="str" cm="1">
        <f t="array" ref="D172">IF(INDEX(Data!LR2:LR1048576,MATCH(TRUE,Data!LR2:LR1048576&lt;&gt;"",0))=1,"Short-term (next 12 months)",
IF(INDEX(Data!LR2:LR1048576,MATCH(TRUE,Data!LR2:LR1048576&lt;&gt;"",0))=2,"Mid-term (next 12-24 months)",
IF(INDEX(Data!LR2:LR1048576,MATCH(TRUE,Data!LR2:LR1048576&lt;&gt;"",0))=3,"Long-term (24 months and beyond)","")))</f>
        <v>Short-term (next 12 months)</v>
      </c>
      <c r="E172" s="47" t="e" cm="1">
        <f t="array" ref="E172">INDEX(Data!LX2:LX1048576,MATCH(TRUE,Data!LX2:LX1048576&lt;&gt;"",0))</f>
        <v>#N/A</v>
      </c>
    </row>
    <row r="173" spans="3:5" ht="30" x14ac:dyDescent="0.25">
      <c r="C173" s="24" t="s">
        <v>983</v>
      </c>
      <c r="D173" s="45" t="str" cm="1">
        <f t="array" ref="D173">IF(INDEX(Data!LS2:LS1048576,MATCH(TRUE,Data!LS2:LS1048576&lt;&gt;"",0))=1,"Short-term (next 12 months)",
IF(INDEX(Data!LS2:LS1048576,MATCH(TRUE,Data!LS2:LS1048576&lt;&gt;"",0))=2,"Mid-term (next 12-24 months)",
IF(INDEX(Data!LS2:LS1048576,MATCH(TRUE,Data!LS2:LS1048576&lt;&gt;"",0))=3,"Long-term (24 months and beyond)","")))</f>
        <v>Short-term (next 12 months)</v>
      </c>
      <c r="E173" s="47" t="str" cm="1">
        <f t="array" ref="E173">INDEX(Data!LY2:LY1048576,MATCH(TRUE,Data!LY2:LY1048576&lt;&gt;"",0))</f>
        <v>SD</v>
      </c>
    </row>
    <row r="174" spans="3:5" x14ac:dyDescent="0.25">
      <c r="C174" s="24" t="s">
        <v>903</v>
      </c>
      <c r="D174" s="45" t="e" cm="1">
        <f t="array" ref="D174">IF(INDEX(Data!LT2:LT1048576,MATCH(TRUE,Data!LT2:LT1048576&lt;&gt;"",0))=1,"Short-term (next 12 months)",
IF(INDEX(Data!LT2:LT1048576,MATCH(TRUE,Data!LT2:LT1048576&lt;&gt;"",0))=2,"Mid-term (next 12-24 months)",
IF(INDEX(Data!LT2:LT1048576,MATCH(TRUE,Data!LT2:LT1048576&lt;&gt;"",0))=3,"Long-term (24 months and beyond)","")))</f>
        <v>#N/A</v>
      </c>
      <c r="E174" s="47" t="e" cm="1">
        <f t="array" ref="E174">INDEX(Data!LZ2:LZ1048576,MATCH(TRUE,Data!LZ2:LZ1048576&lt;&gt;"",0))</f>
        <v>#N/A</v>
      </c>
    </row>
    <row r="175" spans="3:5" x14ac:dyDescent="0.25">
      <c r="C175" s="24" t="s">
        <v>903</v>
      </c>
      <c r="D175" s="45" t="e" cm="1">
        <f t="array" ref="D175">IF(INDEX(Data!LU2:LU1048576,MATCH(TRUE,Data!LU2:LU1048576&lt;&gt;"",0))=1,"Short-term (next 12 months)",
IF(INDEX(Data!LU2:LU1048576,MATCH(TRUE,Data!LU2:LU1048576&lt;&gt;"",0))=2,"Mid-term (next 12-24 months)",
IF(INDEX(Data!LU2:LU1048576,MATCH(TRUE,Data!LU2:LU1048576&lt;&gt;"",0))=3,"Long-term (24 months and beyond)","")))</f>
        <v>#N/A</v>
      </c>
      <c r="E175" s="47" t="e" cm="1">
        <f t="array" ref="E175">INDEX(Data!MA2:MA1048576,MATCH(TRUE,Data!MA2:MA1048576&lt;&gt;"",0))</f>
        <v>#N/A</v>
      </c>
    </row>
    <row r="176" spans="3:5" x14ac:dyDescent="0.25">
      <c r="C176" s="24" t="s">
        <v>903</v>
      </c>
      <c r="D176" s="45" t="e" cm="1">
        <f t="array" ref="D176">IF(INDEX(Data!LV2:LV1048576,MATCH(TRUE,Data!LV2:LV1048576&lt;&gt;"",0))=1,"Short-term (next 12 months)",
IF(INDEX(Data!LV2:LV1048576,MATCH(TRUE,Data!LV2:LV1048576&lt;&gt;"",0))=2,"Mid-term (next 12-24 months)",
IF(INDEX(Data!LV2:LV1048576,MATCH(TRUE,Data!LV2:LV1048576&lt;&gt;"",0))=3,"Long-term (24 months and beyond)","")))</f>
        <v>#N/A</v>
      </c>
      <c r="E176" s="47" t="str" cm="1">
        <f t="array" ref="E176">INDEX(Data!MB2:MB1048576,MATCH(TRUE,Data!MB2:MB1048576&lt;&gt;"",0))</f>
        <v>FF</v>
      </c>
    </row>
    <row r="181" spans="3:5" ht="15.6" thickBot="1" x14ac:dyDescent="0.3"/>
    <row r="182" spans="3:5" ht="18" thickBot="1" x14ac:dyDescent="0.3">
      <c r="C182" s="26" t="s">
        <v>1100</v>
      </c>
      <c r="D182" s="44" t="s">
        <v>894</v>
      </c>
      <c r="E182" s="44" t="s">
        <v>895</v>
      </c>
    </row>
    <row r="183" spans="3:5" ht="30" x14ac:dyDescent="0.25">
      <c r="C183" s="24" t="s">
        <v>1101</v>
      </c>
      <c r="D183" s="45" t="str" cm="1">
        <f t="array" ref="D183">IF(INDEX(Data!MF2:MF1048576,MATCH(TRUE,Data!MF2:MF1048576&lt;&gt;"",0))=1,"Short-term (next 12 months)",
IF(INDEX(Data!MF2:MF1048576,MATCH(TRUE,Data!MF2:MF1048576&lt;&gt;"",0))=2,"Mid-term (next 12-24 months)",
IF(INDEX(Data!MF2:MF1048576,MATCH(TRUE,Data!MF2:MF1048576&lt;&gt;"",0))=3,"Long-term (24 months and beyond)","")))</f>
        <v>Short-term (next 12 months)</v>
      </c>
      <c r="E183" s="47" t="str" cm="1">
        <f t="array" ref="E183">INDEX(Data!MN2:MN1048576,MATCH(TRUE,Data!MN2:MN1048576&lt;&gt;"",0))</f>
        <v>S</v>
      </c>
    </row>
    <row r="184" spans="3:5" ht="30" x14ac:dyDescent="0.25">
      <c r="C184" s="24" t="s">
        <v>1102</v>
      </c>
      <c r="D184" s="45" t="str" cm="1">
        <f t="array" ref="D184">IF(INDEX(Data!MG2:MG1048576,MATCH(TRUE,Data!MG2:MG1048576&lt;&gt;"",0))=1,"Short-term (next 12 months)",
IF(INDEX(Data!MG2:MG1048576,MATCH(TRUE,Data!MG2:MG1048576&lt;&gt;"",0))=2,"Mid-term (next 12-24 months)",
IF(INDEX(Data!MG2:MG1048576,MATCH(TRUE,Data!MG2:MG1048576&lt;&gt;"",0))=3,"Long-term (24 months and beyond)","")))</f>
        <v>Short-term (next 12 months)</v>
      </c>
      <c r="E184" s="47" t="e" cm="1">
        <f t="array" ref="E184">INDEX(Data!MO2:MO1048576,MATCH(TRUE,Data!MO2:MO1048576&lt;&gt;"",0))</f>
        <v>#N/A</v>
      </c>
    </row>
    <row r="185" spans="3:5" ht="30" x14ac:dyDescent="0.25">
      <c r="C185" s="24" t="s">
        <v>1103</v>
      </c>
      <c r="D185" s="45" t="str" cm="1">
        <f t="array" ref="D185">IF(INDEX(Data!MH2:MH1048576,MATCH(TRUE,Data!MH2:MH1048576&lt;&gt;"",0))=1,"Short-term (next 12 months)",
IF(INDEX(Data!MH2:MH1048576,MATCH(TRUE,Data!MH2:MH1048576&lt;&gt;"",0))=2,"Mid-term (next 12-24 months)",
IF(INDEX(Data!MH2:MH1048576,MATCH(TRUE,Data!MH2:MH1048576&lt;&gt;"",0))=3,"Long-term (24 months and beyond)","")))</f>
        <v>Mid-term (next 12-24 months)</v>
      </c>
      <c r="E185" s="47" t="str" cm="1">
        <f t="array" ref="E185">INDEX(Data!MP2:MP1048576,MATCH(TRUE,Data!MP2:MP1048576&lt;&gt;"",0))</f>
        <v>SD</v>
      </c>
    </row>
    <row r="186" spans="3:5" ht="30" x14ac:dyDescent="0.25">
      <c r="C186" s="24" t="s">
        <v>1104</v>
      </c>
      <c r="D186" s="45" t="str" cm="1">
        <f t="array" ref="D186">IF(INDEX(Data!MI2:MI1048576,MATCH(TRUE,Data!MI2:MI1048576&lt;&gt;"",0))=1,"Short-term (next 12 months)",
IF(INDEX(Data!MI2:MI1048576,MATCH(TRUE,Data!MI2:MI1048576&lt;&gt;"",0))=2,"Mid-term (next 12-24 months)",
IF(INDEX(Data!MI2:MI1048576,MATCH(TRUE,Data!MI2:MI1048576&lt;&gt;"",0))=3,"Long-term (24 months and beyond)","")))</f>
        <v>Mid-term (next 12-24 months)</v>
      </c>
      <c r="E186" s="47" t="str" cm="1">
        <f t="array" ref="E186">INDEX(Data!MQ2:MQ1048576,MATCH(TRUE,Data!MQ2:MQ1048576&lt;&gt;"",0))</f>
        <v>SF</v>
      </c>
    </row>
    <row r="187" spans="3:5" x14ac:dyDescent="0.25">
      <c r="C187" s="24" t="s">
        <v>1105</v>
      </c>
      <c r="D187" s="45" t="e" cm="1">
        <f t="array" ref="D187">IF(INDEX(Data!MJ2:MJ1048576,MATCH(TRUE,Data!MJ2:MJ1048576&lt;&gt;"",0))=1,"Short-term (next 12 months)",
IF(INDEX(Data!MJ2:MJ1048576,MATCH(TRUE,Data!MJ2:MJ1048576&lt;&gt;"",0))=2,"MJd-term (next 12-24 months)",
IF(INDEX(Data!MJ2:MJ1048576,MATCH(TRUE,Data!MJ2:MJ1048576&lt;&gt;"",0))=3,"Long-term (24 months and beyond)","")))</f>
        <v>#N/A</v>
      </c>
      <c r="E187" s="47" t="e" cm="1">
        <f t="array" ref="E187">INDEX(Data!MR2:MR1048576,MATCH(TRUE,Data!MR2:MR1048576&lt;&gt;"",0))</f>
        <v>#N/A</v>
      </c>
    </row>
    <row r="188" spans="3:5" x14ac:dyDescent="0.25">
      <c r="C188" s="24" t="s">
        <v>903</v>
      </c>
      <c r="D188" s="45" t="e" cm="1">
        <f t="array" ref="D188">IF(INDEX(Data!MK2:MK1048576,MATCH(TRUE,Data!MK2:MK1048576&lt;&gt;"",0))=1,"Short-term (next 12 months)",
IF(INDEX(Data!MK2:MK1048576,MATCH(TRUE,Data!MK2:MK1048576&lt;&gt;"",0))=2,"MKd-term (next 12-24 months)",
IF(INDEX(Data!MK2:MK1048576,MATCH(TRUE,Data!MK2:MK1048576&lt;&gt;"",0))=3,"Long-term (24 months and beyond)","")))</f>
        <v>#N/A</v>
      </c>
      <c r="E188" s="47" t="e" cm="1">
        <f t="array" ref="E188">INDEX(Data!MS2:MS1048576,MATCH(TRUE,Data!MS2:MS1048576&lt;&gt;"",0))</f>
        <v>#N/A</v>
      </c>
    </row>
    <row r="189" spans="3:5" x14ac:dyDescent="0.25">
      <c r="C189" s="24" t="s">
        <v>903</v>
      </c>
      <c r="D189" s="45" t="e" cm="1">
        <f t="array" ref="D189">IF(INDEX(Data!ML2:ML1048576,MATCH(TRUE,Data!ML2:ML1048576&lt;&gt;"",0))=1,"Short-term (next 12 months)",
IF(INDEX(Data!ML2:ML1048576,MATCH(TRUE,Data!ML2:ML1048576&lt;&gt;"",0))=2,"MLd-term (next 12-24 months)",
IF(INDEX(Data!ML2:ML1048576,MATCH(TRUE,Data!ML2:ML1048576&lt;&gt;"",0))=3,"Long-term (24 months and beyond)","")))</f>
        <v>#N/A</v>
      </c>
      <c r="E189" s="47" t="e" cm="1">
        <f t="array" ref="E189">INDEX(Data!MT2:MT1048576,MATCH(TRUE,Data!MT2:MT1048576&lt;&gt;"",0))</f>
        <v>#N/A</v>
      </c>
    </row>
    <row r="190" spans="3:5" ht="45" x14ac:dyDescent="0.25">
      <c r="C190" s="24" t="s">
        <v>903</v>
      </c>
      <c r="D190" s="45" t="str" cm="1">
        <f t="array" ref="D190">IF(INDEX(Data!MM2:MM1048576,MATCH(TRUE,Data!MM2:MM1048576&lt;&gt;"",0))=1,"Short-term (next 12 months)",
IF(INDEX(Data!MM2:MM1048576,MATCH(TRUE,Data!MM2:MM1048576&lt;&gt;"",0))=2,"MMd-term (next 12-24 months)",
IF(INDEX(Data!MM2:MM1048576,MATCH(TRUE,Data!MM2:MM1048576&lt;&gt;"",0))=3,"Long-term (24 months and beyond)","")))</f>
        <v>Long-term (24 months and beyond)</v>
      </c>
      <c r="E190" s="47" t="str" cm="1">
        <f t="array" ref="E190">INDEX(Data!MU2:MU1048576,MATCH(TRUE,Data!MU2:MU1048576&lt;&gt;"",0))</f>
        <v>End range</v>
      </c>
    </row>
    <row r="196" spans="3:5" ht="15.6" thickBot="1" x14ac:dyDescent="0.3"/>
    <row r="197" spans="3:5" ht="35.4" thickBot="1" x14ac:dyDescent="0.3">
      <c r="C197" s="26" t="s">
        <v>984</v>
      </c>
      <c r="D197" s="44" t="s">
        <v>894</v>
      </c>
      <c r="E197" s="44" t="s">
        <v>895</v>
      </c>
    </row>
    <row r="198" spans="3:5" ht="30" x14ac:dyDescent="0.25">
      <c r="C198" s="24" t="s">
        <v>985</v>
      </c>
      <c r="D198" s="45" t="e" cm="1">
        <f t="array" ref="D198">IF(INDEX(Data!MY2:MY1048576,MATCH(TRUE,Data!MY2:MY1048576&lt;&gt;"",0))=1,"Short-term (next 12 months)",
IF(INDEX(Data!MY2:MY1048576,MATCH(TRUE,Data!MY2:MY1048576&lt;&gt;"",0))=2,"Mid-term (next 12-24 months)",
IF(INDEX(Data!MY2:MY1048576,MATCH(TRUE,Data!MY2:MY1048576&lt;&gt;"",0))=3,"Long-term (24 months and beyond)","")))</f>
        <v>#N/A</v>
      </c>
      <c r="E198" s="47" t="str" cm="1">
        <f t="array" ref="E198">INDEX(Data!NE2:NE1048576,MATCH(TRUE,Data!NE2:NE1048576&lt;&gt;"",0))</f>
        <v>TEST</v>
      </c>
    </row>
    <row r="199" spans="3:5" ht="45" x14ac:dyDescent="0.25">
      <c r="C199" s="24" t="s">
        <v>986</v>
      </c>
      <c r="D199" s="45" t="str" cm="1">
        <f t="array" ref="D199">IF(INDEX(Data!MZ2:MZ1048576,MATCH(TRUE,Data!MZ2:MZ1048576&lt;&gt;"",0))=1,"Short-term (next 12 months)",
IF(INDEX(Data!MZ2:MZ1048576,MATCH(TRUE,Data!MZ2:MZ1048576&lt;&gt;"",0))=2,"Mid-term (next 12-24 months)",
IF(INDEX(Data!MZ2:MZ1048576,MATCH(TRUE,Data!MZ2:MZ1048576&lt;&gt;"",0))=3,"Long-term (24 months and beyond)","")))</f>
        <v>Long-term (24 months and beyond)</v>
      </c>
      <c r="E199" s="47" t="str" cm="1">
        <f t="array" ref="E199">INDEX(Data!NF2:NF1048576,MATCH(TRUE,Data!NF2:NF1048576&lt;&gt;"",0))</f>
        <v>Asa</v>
      </c>
    </row>
    <row r="200" spans="3:5" ht="30" x14ac:dyDescent="0.25">
      <c r="C200" s="24" t="s">
        <v>987</v>
      </c>
      <c r="D200" s="45" t="str" cm="1">
        <f t="array" ref="D200">IF(INDEX(Data!NA2:NA1048576,MATCH(TRUE,Data!NA2:NA1048576&lt;&gt;"",0))=1,"Short-term (next 12 months)",
IF(INDEX(Data!NA2:NA1048576,MATCH(TRUE,Data!NA2:NA1048576&lt;&gt;"",0))=2,"Mid-term (next 12-24 months)",
IF(INDEX(Data!NA2:NA1048576,MATCH(TRUE,Data!NA2:NA1048576&lt;&gt;"",0))=3,"Long-term (24 months and beyond)","")))</f>
        <v>Mid-term (next 12-24 months)</v>
      </c>
      <c r="E200" s="47" t="str" cm="1">
        <f t="array" ref="E200">INDEX(Data!NG2:NG1048576,MATCH(TRUE,Data!NG2:NG1048576&lt;&gt;"",0))</f>
        <v>as</v>
      </c>
    </row>
    <row r="201" spans="3:5" x14ac:dyDescent="0.25">
      <c r="C201" s="24" t="s">
        <v>903</v>
      </c>
      <c r="D201" s="45" t="e" cm="1">
        <f t="array" ref="D201">IF(INDEX(Data!NB2:NB1048576,MATCH(TRUE,Data!NB2:NB1048576&lt;&gt;"",0))=1,"Short-term (next 12 months)",
IF(INDEX(Data!NB2:NB1048576,MATCH(TRUE,Data!NB2:NB1048576&lt;&gt;"",0))=2,"Mid-term (next 12-24 months)",
IF(INDEX(Data!NB2:NB1048576,MATCH(TRUE,Data!NB2:NB1048576&lt;&gt;"",0))=3,"Long-term (24 months and beyond)","")))</f>
        <v>#N/A</v>
      </c>
      <c r="E201" s="47" t="e" cm="1">
        <f t="array" ref="E201">INDEX(Data!NH2:NH1048576,MATCH(TRUE,Data!NH2:NH1048576&lt;&gt;"",0))</f>
        <v>#N/A</v>
      </c>
    </row>
    <row r="202" spans="3:5" x14ac:dyDescent="0.25">
      <c r="C202" s="24" t="s">
        <v>903</v>
      </c>
      <c r="D202" s="45" t="e" cm="1">
        <f t="array" ref="D202">IF(INDEX(Data!NC2:NC1048576,MATCH(TRUE,Data!NC2:NC1048576&lt;&gt;"",0))=1,"Short-term (next 12 months)",
IF(INDEX(Data!NC2:NC1048576,MATCH(TRUE,Data!NC2:NC1048576&lt;&gt;"",0))=2,"Mid-term (next 12-24 months)",
IF(INDEX(Data!NC2:NC1048576,MATCH(TRUE,Data!NC2:NC1048576&lt;&gt;"",0))=3,"Long-term (24 months and beyond)","")))</f>
        <v>#N/A</v>
      </c>
      <c r="E202" s="47" t="e" cm="1">
        <f t="array" ref="E202">INDEX(Data!NI2:NI1048576,MATCH(TRUE,Data!NI2:NI1048576&lt;&gt;"",0))</f>
        <v>#N/A</v>
      </c>
    </row>
    <row r="203" spans="3:5" x14ac:dyDescent="0.25">
      <c r="C203" s="24" t="s">
        <v>903</v>
      </c>
      <c r="D203" s="45" t="e" cm="1">
        <f t="array" ref="D203">IF(INDEX(Data!ND2:ND1048576,MATCH(TRUE,Data!ND2:ND1048576&lt;&gt;"",0))=1,"Short-term (next 12 months)",
IF(INDEX(Data!ND2:ND1048576,MATCH(TRUE,Data!ND2:ND1048576&lt;&gt;"",0))=2,"Mid-term (next 12-24 months)",
IF(INDEX(Data!ND2:ND1048576,MATCH(TRUE,Data!ND2:ND1048576&lt;&gt;"",0))=3,"Long-term (24 months and beyond)","")))</f>
        <v>#N/A</v>
      </c>
      <c r="E203" s="47" t="str" cm="1">
        <f t="array" ref="E203">INDEX(Data!NJ2:NJ1048576,MATCH(TRUE,Data!NJ2:NJ1048576&lt;&gt;"",0))</f>
        <v>END TEST</v>
      </c>
    </row>
    <row r="207" spans="3:5" ht="15.6" thickBot="1" x14ac:dyDescent="0.3"/>
    <row r="208" spans="3:5" ht="52.8" thickBot="1" x14ac:dyDescent="0.3">
      <c r="C208" s="26" t="s">
        <v>988</v>
      </c>
      <c r="D208" s="44" t="s">
        <v>894</v>
      </c>
      <c r="E208" s="44" t="s">
        <v>895</v>
      </c>
    </row>
    <row r="209" spans="3:5" ht="30" x14ac:dyDescent="0.25">
      <c r="C209" s="24" t="s">
        <v>989</v>
      </c>
      <c r="D209" s="45" t="e" cm="1">
        <f t="array" ref="D209">IF(INDEX(Data!NN2:NN1048576,MATCH(TRUE,Data!NN2:NN1048576&lt;&gt;"",0))=1,"Short-term (next 12 months)",
IF(INDEX(Data!NN2:NN1048576,MATCH(TRUE,Data!NN2:NN1048576&lt;&gt;"",0))=2,"Mid-term (next 12-24 months)",
IF(INDEX(Data!NN2:NN1048576,MATCH(TRUE,Data!NN2:NN1048576&lt;&gt;"",0))=3,"Long-term (24 months and beyond)","")))</f>
        <v>#N/A</v>
      </c>
      <c r="E209" s="47" t="e" cm="1">
        <f t="array" ref="E209">INDEX(Data!OA2:OA1048576,MATCH(TRUE,Data!OA2:OA1048576&lt;&gt;"",0))</f>
        <v>#N/A</v>
      </c>
    </row>
    <row r="210" spans="3:5" ht="45" x14ac:dyDescent="0.25">
      <c r="C210" s="24" t="s">
        <v>990</v>
      </c>
      <c r="D210" s="45" t="str" cm="1">
        <f t="array" ref="D210">IF(INDEX(Data!NO2:NO1048576,MATCH(TRUE,Data!NO2:NO1048576&lt;&gt;"",0))=1,"Short-term (next 12 months)",
IF(INDEX(Data!NO2:NO1048576,MATCH(TRUE,Data!NO2:NO1048576&lt;&gt;"",0))=2,"Mid-term (next 12-24 months)",
IF(INDEX(Data!NO2:NO1048576,MATCH(TRUE,Data!NO2:NO1048576&lt;&gt;"",0))=3,"Long-term (24 months and beyond)","")))</f>
        <v>Long-term (24 months and beyond)</v>
      </c>
      <c r="E210" s="47" t="str" cm="1">
        <f t="array" ref="E210">INDEX(Data!OB2:OB1048576,MATCH(TRUE,Data!OB2:OB1048576&lt;&gt;"",0))</f>
        <v>RF</v>
      </c>
    </row>
    <row r="211" spans="3:5" ht="60" x14ac:dyDescent="0.25">
      <c r="C211" s="24" t="s">
        <v>991</v>
      </c>
      <c r="D211" s="45" t="str" cm="1">
        <f t="array" ref="D211">IF(INDEX(Data!NP2:NP1048576,MATCH(TRUE,Data!NP2:NP1048576&lt;&gt;"",0))=1,"Short-term (next 12 months)",
IF(INDEX(Data!NP2:NP1048576,MATCH(TRUE,Data!NP2:NP1048576&lt;&gt;"",0))=2,"Mid-term (next 12-24 months)",
IF(INDEX(Data!NP2:NP1048576,MATCH(TRUE,Data!NP2:NP1048576&lt;&gt;"",0))=3,"Long-term (24 months and beyond)","")))</f>
        <v>Long-term (24 months and beyond)</v>
      </c>
      <c r="E211" s="47" t="str" cm="1">
        <f t="array" ref="E211">INDEX(Data!OC2:OC1048576,MATCH(TRUE,Data!OC2:OC1048576&lt;&gt;"",0))</f>
        <v>#$</v>
      </c>
    </row>
    <row r="212" spans="3:5" ht="30" x14ac:dyDescent="0.25">
      <c r="C212" s="24" t="s">
        <v>992</v>
      </c>
      <c r="D212" s="45" t="e" cm="1">
        <f t="array" ref="D212">IF(INDEX(Data!NQ2:NQ1048576,MATCH(TRUE,Data!NQ2:NQ1048576&lt;&gt;"",0))=1,"Short-term (next 12 months)",
IF(INDEX(Data!NQ2:NQ1048576,MATCH(TRUE,Data!NQ2:NQ1048576&lt;&gt;"",0))=2,"Mid-term (next 12-24 months)",
IF(INDEX(Data!NQ2:NQ1048576,MATCH(TRUE,Data!NQ2:NQ1048576&lt;&gt;"",0))=3,"Long-term (24 months and beyond)","")))</f>
        <v>#N/A</v>
      </c>
      <c r="E212" s="47" t="e" cm="1">
        <f t="array" ref="E212">INDEX(Data!OD2:OD1048576,MATCH(TRUE,Data!OD2:OD1048576&lt;&gt;"",0))</f>
        <v>#N/A</v>
      </c>
    </row>
    <row r="213" spans="3:5" ht="30" x14ac:dyDescent="0.25">
      <c r="C213" s="24" t="s">
        <v>994</v>
      </c>
      <c r="D213" s="45" t="e" cm="1">
        <f t="array" ref="D213">IF(INDEX(Data!NR2:NR1048576,MATCH(TRUE,Data!NR2:NR1048576&lt;&gt;"",0))=1,"Short-term (next 12 months)",
IF(INDEX(Data!NR2:NR1048576,MATCH(TRUE,Data!NR2:NR1048576&lt;&gt;"",0))=2,"Mid-term (next 12-24 months)",
IF(INDEX(Data!NR2:NR1048576,MATCH(TRUE,Data!NR2:NR1048576&lt;&gt;"",0))=3,"Long-term (24 months and beyond)","")))</f>
        <v>#N/A</v>
      </c>
      <c r="E213" s="47" t="str" cm="1">
        <f t="array" ref="E213">INDEX(Data!OE2:OE1048576,MATCH(TRUE,Data!OE2:OE1048576&lt;&gt;"",0))</f>
        <v>sa</v>
      </c>
    </row>
    <row r="214" spans="3:5" x14ac:dyDescent="0.25">
      <c r="C214" s="24" t="s">
        <v>993</v>
      </c>
      <c r="D214" s="45" t="e" cm="1">
        <f t="array" ref="D214">IF(INDEX(Data!NS2:NS1048576,MATCH(TRUE,Data!NS2:NS1048576&lt;&gt;"",0))=1,"Short-term (next 12 months)",
IF(INDEX(Data!NS2:NS1048576,MATCH(TRUE,Data!NS2:NS1048576&lt;&gt;"",0))=2,"Mid-term (next 12-24 months)",
IF(INDEX(Data!NS2:NS1048576,MATCH(TRUE,Data!NS2:NS1048576&lt;&gt;"",0))=3,"Long-term (24 months and beyond)","")))</f>
        <v>#N/A</v>
      </c>
      <c r="E214" s="47" t="str" cm="1">
        <f t="array" ref="E214">INDEX(Data!OF2:OF1048576,MATCH(TRUE,Data!OF2:OF1048576&lt;&gt;"",0))</f>
        <v>aaas</v>
      </c>
    </row>
    <row r="215" spans="3:5" ht="45" x14ac:dyDescent="0.25">
      <c r="C215" s="24" t="s">
        <v>995</v>
      </c>
      <c r="D215" s="45" t="str" cm="1">
        <f t="array" ref="D215">IF(INDEX(Data!NT2:NT1048576,MATCH(TRUE,Data!NT2:NT1048576&lt;&gt;"",0))=1,"Short-term (next 12 months)",
IF(INDEX(Data!NT2:NT1048576,MATCH(TRUE,Data!NT2:NT1048576&lt;&gt;"",0))=2,"Mid-term (next 12-24 months)",
IF(INDEX(Data!NT2:NT1048576,MATCH(TRUE,Data!NT2:NT1048576&lt;&gt;"",0))=3,"Long-term (24 months and beyond)","")))</f>
        <v>Long-term (24 months and beyond)</v>
      </c>
      <c r="E215" s="47" t="e" cm="1">
        <f t="array" ref="E215">INDEX(Data!OG2:OG1048576,MATCH(TRUE,Data!OG2:OG1048576&lt;&gt;"",0))</f>
        <v>#N/A</v>
      </c>
    </row>
    <row r="216" spans="3:5" ht="30" x14ac:dyDescent="0.25">
      <c r="C216" s="24" t="s">
        <v>996</v>
      </c>
      <c r="D216" s="45" t="e" cm="1">
        <f t="array" ref="D216">IF(INDEX(Data!NU2:NU1048576,MATCH(TRUE,Data!NU2:NU1048576&lt;&gt;"",0))=1,"Short-term (next 12 months)",
IF(INDEX(Data!NU2:NU1048576,MATCH(TRUE,Data!NU2:NU1048576&lt;&gt;"",0))=2,"Mid-term (next 12-24 moNUhs)",
IF(INDEX(Data!NU2:NU1048576,MATCH(TRUE,Data!NU2:NU1048576&lt;&gt;"",0))=3,"Long-term (24 moNUhs and beyond)","")))</f>
        <v>#N/A</v>
      </c>
      <c r="E216" s="47" t="e" cm="1">
        <f t="array" ref="E216">INDEX(Data!OH2:OH1048576,MATCH(TRUE,Data!OH2:OH1048576&lt;&gt;"",0))</f>
        <v>#N/A</v>
      </c>
    </row>
    <row r="217" spans="3:5" ht="45" x14ac:dyDescent="0.25">
      <c r="C217" s="24" t="s">
        <v>997</v>
      </c>
      <c r="D217" s="45" t="e" cm="1">
        <f t="array" ref="D217">IF(INDEX(Data!NV2:NV1048576,MATCH(TRUE,Data!NV2:NV1048576&lt;&gt;"",0))=1,"Short-term (next 12 months)",
IF(INDEX(Data!NV2:NV1048576,MATCH(TRUE,Data!NV2:NV1048576&lt;&gt;"",0))=2,"Mid-term (next 12-24 months)",
IF(INDEX(Data!NV2:NV1048576,MATCH(TRUE,Data!NV2:NV1048576&lt;&gt;"",0))=3,"Long-term (24 months and beyond)","")))</f>
        <v>#N/A</v>
      </c>
      <c r="E217" s="47" t="s">
        <v>1108</v>
      </c>
    </row>
    <row r="218" spans="3:5" ht="30" x14ac:dyDescent="0.25">
      <c r="C218" s="24" t="s">
        <v>998</v>
      </c>
      <c r="D218" s="45" t="e" cm="1">
        <f t="array" ref="D218">IF(INDEX(Data!NW2:NW1048576,MATCH(TRUE,Data!NW2:NW1048576&lt;&gt;"",0))=1,"Short-term (next 12 months)",
IF(INDEX(Data!NW2:NW1048576,MATCH(TRUE,Data!NW2:NW1048576&lt;&gt;"",0))=2,"Mid-term (next 12-24 months)",
IF(INDEX(Data!NW2:NW1048576,MATCH(TRUE,Data!NW2:NW1048576&lt;&gt;"",0))=3,"Long-term (24 months and beyond)","")))</f>
        <v>#N/A</v>
      </c>
      <c r="E218" s="47" t="e" cm="1">
        <f t="array" ref="E218">INDEX(Data!OJ2:OJ1048576,MATCH(TRUE,Data!OJ2:OJ1048576&lt;&gt;"",0))</f>
        <v>#N/A</v>
      </c>
    </row>
    <row r="219" spans="3:5" ht="45" x14ac:dyDescent="0.25">
      <c r="C219" s="24" t="s">
        <v>903</v>
      </c>
      <c r="D219" s="45" t="str" cm="1">
        <f t="array" ref="D219">IF(INDEX(Data!NX2:NX1048576,MATCH(TRUE,Data!NX2:NX1048576&lt;&gt;"",0))=1,"Short-term (next 12 months)",
IF(INDEX(Data!NX2:NX1048576,MATCH(TRUE,Data!NX2:NX1048576&lt;&gt;"",0))=2,"Mid-term (next 12-24 months)",
IF(INDEX(Data!NX2:NX1048576,MATCH(TRUE,Data!NX2:NX1048576&lt;&gt;"",0))=3,"Long-term (24 months and beyond)","")))</f>
        <v>Long-term (24 months and beyond)</v>
      </c>
      <c r="E219" s="47" t="str" cm="1">
        <f t="array" ref="E219">INDEX(Data!OK2:OK1048576,MATCH(TRUE,Data!OK2:OK1048576&lt;&gt;"",0))</f>
        <v>ADF</v>
      </c>
    </row>
    <row r="220" spans="3:5" x14ac:dyDescent="0.25">
      <c r="C220" s="24" t="s">
        <v>903</v>
      </c>
      <c r="D220" s="45" t="e" cm="1">
        <f t="array" ref="D220">IF(INDEX(Data!NY2:NY1048576,MATCH(TRUE,Data!NY2:NY1048576&lt;&gt;"",0))=1,"Short-term (next 12 months)",
IF(INDEX(Data!NY2:NY1048576,MATCH(TRUE,Data!NY2:NY1048576&lt;&gt;"",0))=2,"Mid-term (next 12-24 months)",
IF(INDEX(Data!NY2:NY1048576,MATCH(TRUE,Data!NY2:NY1048576&lt;&gt;"",0))=3,"Long-term (24 months and beyond)","")))</f>
        <v>#N/A</v>
      </c>
      <c r="E220" s="47" t="e" cm="1">
        <f t="array" ref="E220">INDEX(Data!OL2:OL1048576,MATCH(TRUE,Data!OL2:OL1048576&lt;&gt;"",0))</f>
        <v>#N/A</v>
      </c>
    </row>
    <row r="221" spans="3:5" x14ac:dyDescent="0.25">
      <c r="C221" s="24" t="s">
        <v>903</v>
      </c>
      <c r="D221" s="45" t="e" cm="1">
        <f t="array" ref="D221">IF(INDEX(Data!NZ2:NZ1048576,MATCH(TRUE,Data!NZ2:NZ1048576&lt;&gt;"",0))=1,"Short-term (next 12 months)",
IF(INDEX(Data!NZ2:NZ1048576,MATCH(TRUE,Data!NZ2:NZ1048576&lt;&gt;"",0))=2,"Mid-term (next 12-24 months)",
IF(INDEX(Data!NZ2:NZ1048576,MATCH(TRUE,Data!NZ2:NZ1048576&lt;&gt;"",0))=3,"Long-term (24 months and beyond)","")))</f>
        <v>#N/A</v>
      </c>
      <c r="E221" s="47" t="e" cm="1">
        <f t="array" ref="E221">INDEX(Data!OM2:OM1048576,MATCH(TRUE,Data!OM2:OM1048576&lt;&gt;"",0))</f>
        <v>#N/A</v>
      </c>
    </row>
    <row r="226" spans="3:5" ht="15.6" thickBot="1" x14ac:dyDescent="0.3"/>
    <row r="227" spans="3:5" ht="35.4" thickBot="1" x14ac:dyDescent="0.3">
      <c r="C227" s="26" t="s">
        <v>12</v>
      </c>
      <c r="D227" s="44" t="s">
        <v>894</v>
      </c>
      <c r="E227" s="44" t="s">
        <v>895</v>
      </c>
    </row>
    <row r="228" spans="3:5" ht="30" x14ac:dyDescent="0.25">
      <c r="C228" s="24" t="s">
        <v>999</v>
      </c>
      <c r="D228" s="45" t="e" cm="1">
        <f t="array" ref="D228">IF(INDEX(Data!OQ2:OQ1048576,MATCH(TRUE,Data!OQ2:OQ1048576&lt;&gt;"",0))=1,"Short-term (next 12 months)",
IF(INDEX(Data!OQ2:OQ1048576,MATCH(TRUE,Data!OQ2:OQ1048576&lt;&gt;"",0))=2,"Mid-term (next 12-24 months)",
IF(INDEX(Data!OQ2:OQ1048576,MATCH(TRUE,Data!OQ2:OQ1048576&lt;&gt;"",0))=3,"Long-term (24 months and beyond)","")))</f>
        <v>#N/A</v>
      </c>
      <c r="E228" s="47" t="e" cm="1">
        <f t="array" ref="E228">INDEX(Data!OZ2:OZ1048576,MATCH(TRUE,Data!OZ2:OZ1048576&lt;&gt;"",0))</f>
        <v>#N/A</v>
      </c>
    </row>
    <row r="229" spans="3:5" ht="45" x14ac:dyDescent="0.25">
      <c r="C229" s="24" t="s">
        <v>1000</v>
      </c>
      <c r="D229" s="45" t="e" cm="1">
        <f t="array" ref="D229">IF(INDEX(Data!OR2:OR1048576,MATCH(TRUE,Data!OR2:OR1048576&lt;&gt;"",0))=1,"Short-term (next 12 months)",
IF(INDEX(Data!OR2:OR1048576,MATCH(TRUE,Data!OR2:OR1048576&lt;&gt;"",0))=2,"Mid-term (next 12-24 months)",
IF(INDEX(Data!OR2:OR1048576,MATCH(TRUE,Data!OR2:OR1048576&lt;&gt;"",0))=3,"Long-term (24 months and beyond)","")))</f>
        <v>#N/A</v>
      </c>
      <c r="E229" s="47" t="e" cm="1">
        <f t="array" ref="E229">INDEX(Data!PA2:PA1048576,MATCH(TRUE,Data!PA2:PA1048576&lt;&gt;"",0))</f>
        <v>#N/A</v>
      </c>
    </row>
    <row r="230" spans="3:5" x14ac:dyDescent="0.25">
      <c r="C230" s="24" t="s">
        <v>1001</v>
      </c>
      <c r="D230" s="45" t="e" cm="1">
        <f t="array" ref="D230">IF(INDEX(Data!OS2:OS1048576,MATCH(TRUE,Data!OS2:OS1048576&lt;&gt;"",0))=1,"Short-term (next 12 months)",
IF(INDEX(Data!OS2:OS1048576,MATCH(TRUE,Data!OS2:OS1048576&lt;&gt;"",0))=2,"Mid-term (next 12-24 months)",
IF(INDEX(Data!OS2:OS1048576,MATCH(TRUE,Data!OS2:OS1048576&lt;&gt;"",0))=3,"Long-term (24 months and beyond)","")))</f>
        <v>#N/A</v>
      </c>
      <c r="E230" s="47" t="e" cm="1">
        <f t="array" ref="E230">INDEX(Data!PB2:PB1048576,MATCH(TRUE,Data!PB2:PB1048576&lt;&gt;"",0))</f>
        <v>#N/A</v>
      </c>
    </row>
    <row r="231" spans="3:5" ht="45" x14ac:dyDescent="0.25">
      <c r="C231" s="24" t="s">
        <v>1002</v>
      </c>
      <c r="D231" s="45" t="str" cm="1">
        <f t="array" ref="D231">IF(INDEX(Data!OT2:OT1048576,MATCH(TRUE,Data!OT2:OT1048576&lt;&gt;"",0))=1,"Short-term (next 12 months)",
IF(INDEX(Data!OT2:OT1048576,MATCH(TRUE,Data!OT2:OT1048576&lt;&gt;"",0))=2,"Mid-term (next 12-24 months)",
IF(INDEX(Data!OT2:OT1048576,MATCH(TRUE,Data!OT2:OT1048576&lt;&gt;"",0))=3,"Long-term (24 months and beyond)","")))</f>
        <v>Mid-term (next 12-24 months)</v>
      </c>
      <c r="E231" s="47" t="str" cm="1">
        <f t="array" ref="E231">INDEX(Data!PC2:PC1048576,MATCH(TRUE,Data!PC2:PC1048576&lt;&gt;"",0))</f>
        <v>sasa</v>
      </c>
    </row>
    <row r="232" spans="3:5" ht="45" x14ac:dyDescent="0.25">
      <c r="C232" s="24" t="s">
        <v>995</v>
      </c>
      <c r="D232" s="45" t="e" cm="1">
        <f t="array" ref="D232">IF(INDEX(Data!OU2:OU1048576,MATCH(TRUE,Data!OU2:OU1048576&lt;&gt;"",0))=1,"Short-term (next 12 months)",
IF(INDEX(Data!OU2:OU1048576,MATCH(TRUE,Data!OU2:OU1048576&lt;&gt;"",0))=2,"Mid-term (next 12-24 months)",
IF(INDEX(Data!OU2:OU1048576,MATCH(TRUE,Data!OU2:OU1048576&lt;&gt;"",0))=3,"Long-term (24 months and beyond)","")))</f>
        <v>#N/A</v>
      </c>
      <c r="E232" s="47" t="e" cm="1">
        <f t="array" ref="E232">INDEX(Data!PD2:PD1048576,MATCH(TRUE,Data!PD2:PD1048576&lt;&gt;"",0))</f>
        <v>#N/A</v>
      </c>
    </row>
    <row r="233" spans="3:5" ht="30" x14ac:dyDescent="0.25">
      <c r="C233" s="24" t="s">
        <v>998</v>
      </c>
      <c r="D233" s="45" t="e" cm="1">
        <f t="array" ref="D233">IF(INDEX(Data!OV2:OV1048576,MATCH(TRUE,Data!OV2:OV1048576&lt;&gt;"",0))=1,"Short-term (next 12 months)",
IF(INDEX(Data!OV2:OV1048576,MATCH(TRUE,Data!OV2:OV1048576&lt;&gt;"",0))=2,"Mid-term (next 12-24 months)",
IF(INDEX(Data!OV2:OV1048576,MATCH(TRUE,Data!OV2:OV1048576&lt;&gt;"",0))=3,"Long-term (24 months and beyond)","")))</f>
        <v>#N/A</v>
      </c>
      <c r="E233" s="47" t="e" cm="1">
        <f t="array" ref="E233">INDEX(Data!PE2:PE1048576,MATCH(TRUE,Data!PE2:PE1048576&lt;&gt;"",0))</f>
        <v>#N/A</v>
      </c>
    </row>
    <row r="234" spans="3:5" x14ac:dyDescent="0.25">
      <c r="C234" s="24" t="s">
        <v>903</v>
      </c>
      <c r="D234" s="45" t="e" cm="1">
        <f t="array" ref="D234">IF(INDEX(Data!OW2:OW1048576,MATCH(TRUE,Data!OW2:OW1048576&lt;&gt;"",0))=1,"Short-term (next 12 months)",
IF(INDEX(Data!OW2:OW1048576,MATCH(TRUE,Data!OW2:OW1048576&lt;&gt;"",0))=2,"Mid-term (next 12-24 months)",
IF(INDEX(Data!OW2:OW1048576,MATCH(TRUE,Data!OW2:OW1048576&lt;&gt;"",0))=3,"Long-term (24 months and beyond)","")))</f>
        <v>#N/A</v>
      </c>
      <c r="E234" s="47" t="e" cm="1">
        <f t="array" ref="E234">INDEX(Data!PF2:PF1048576,MATCH(TRUE,Data!PF2:PF1048576&lt;&gt;"",0))</f>
        <v>#N/A</v>
      </c>
    </row>
    <row r="235" spans="3:5" x14ac:dyDescent="0.25">
      <c r="C235" s="24" t="s">
        <v>903</v>
      </c>
      <c r="D235" s="45" t="e" cm="1">
        <f t="array" ref="D235">IF(INDEX(Data!OX2:OX1048576,MATCH(TRUE,Data!OX2:OX1048576&lt;&gt;"",0))=1,"Short-term (next 12 months)",
IF(INDEX(Data!OX2:OX1048576,MATCH(TRUE,Data!OX2:OX1048576&lt;&gt;"",0))=2,"Mid-term (next 12-24 months)",
IF(INDEX(Data!OX2:OX1048576,MATCH(TRUE,Data!OX2:OX1048576&lt;&gt;"",0))=3,"Long-term (24 months and beyond)","")))</f>
        <v>#N/A</v>
      </c>
      <c r="E235" s="47" t="e" cm="1">
        <f t="array" ref="E235">INDEX(Data!PG2:PG1048576,MATCH(TRUE,Data!PG2:PG1048576&lt;&gt;"",0))</f>
        <v>#N/A</v>
      </c>
    </row>
    <row r="236" spans="3:5" x14ac:dyDescent="0.25">
      <c r="C236" s="24" t="s">
        <v>903</v>
      </c>
      <c r="D236" s="45" t="e" cm="1">
        <f t="array" ref="D236">IF(INDEX(Data!OY2:OY1048576,MATCH(TRUE,Data!OY2:OY1048576&lt;&gt;"",0))=1,"Short-term (next 12 months)",
IF(INDEX(Data!OY2:OY1048576,MATCH(TRUE,Data!OY2:OY1048576&lt;&gt;"",0))=2,"Mid-term (next 12-24 months)",
IF(INDEX(Data!OY2:OY1048576,MATCH(TRUE,Data!OY2:OY1048576&lt;&gt;"",0))=3,"Long-term (24 months and beyond)","")))</f>
        <v>#N/A</v>
      </c>
      <c r="E236" s="47" t="str" cm="1">
        <f t="array" ref="E236">INDEX(Data!PH2:PH1048576,MATCH(TRUE,Data!PH2:PH1048576&lt;&gt;"",0))</f>
        <v>TEST</v>
      </c>
    </row>
    <row r="241" spans="3:5" ht="15.6" thickBot="1" x14ac:dyDescent="0.3"/>
    <row r="242" spans="3:5" ht="35.4" thickBot="1" x14ac:dyDescent="0.3">
      <c r="C242" s="26" t="s">
        <v>1003</v>
      </c>
      <c r="D242" s="44" t="s">
        <v>894</v>
      </c>
      <c r="E242" s="44" t="s">
        <v>895</v>
      </c>
    </row>
    <row r="243" spans="3:5" ht="30" x14ac:dyDescent="0.25">
      <c r="C243" s="24" t="s">
        <v>1004</v>
      </c>
      <c r="D243" s="45" t="e" cm="1">
        <f t="array" ref="D243">IF(INDEX(Data!PL2:PL1048576,MATCH(TRUE,Data!PL2:PL1048576&lt;&gt;"",0))=1,"Short-term (next 12 months)",
IF(INDEX(Data!PL2:PL1048576,MATCH(TRUE,Data!PL2:PL1048576&lt;&gt;"",0))=2,"Mid-term (next 12-24 months)",
IF(INDEX(Data!PL2:PL1048576,MATCH(TRUE,Data!PL2:PL1048576&lt;&gt;"",0))=3,"Long-term (24 months and beyond)","")))</f>
        <v>#N/A</v>
      </c>
      <c r="E243" s="47" t="e" cm="1">
        <f t="array" ref="E243">INDEX(Data!PW2:PW1048576,MATCH(TRUE,Data!PW2:PW1048576&lt;&gt;"",0))</f>
        <v>#N/A</v>
      </c>
    </row>
    <row r="244" spans="3:5" ht="30" x14ac:dyDescent="0.25">
      <c r="C244" s="24" t="s">
        <v>1005</v>
      </c>
      <c r="D244" s="45" t="e" cm="1">
        <f t="array" ref="D244">IF(INDEX(Data!PM2:PM1048576,MATCH(TRUE,Data!PM2:PM1048576&lt;&gt;"",0))=1,"Short-term (next 12 months)",
IF(INDEX(Data!PM2:PM1048576,MATCH(TRUE,Data!PM2:PM1048576&lt;&gt;"",0))=2,"Mid-term (next 12-24 months)",
IF(INDEX(Data!PM2:PM1048576,MATCH(TRUE,Data!PM2:PM1048576&lt;&gt;"",0))=3,"Long-term (24 months and beyond)","")))</f>
        <v>#N/A</v>
      </c>
      <c r="E244" s="47" t="e" cm="1">
        <f t="array" ref="E244">INDEX(Data!PX2:PX1048576,MATCH(TRUE,Data!PX2:PX1048576&lt;&gt;"",0))</f>
        <v>#N/A</v>
      </c>
    </row>
    <row r="245" spans="3:5" ht="30" x14ac:dyDescent="0.25">
      <c r="C245" s="24" t="s">
        <v>1006</v>
      </c>
      <c r="D245" s="45" t="e" cm="1">
        <f t="array" ref="D245">IF(INDEX(Data!PN2:PN1048576,MATCH(TRUE,Data!PN2:PN1048576&lt;&gt;"",0))=1,"Short-term (next 12 months)",
IF(INDEX(Data!PN2:PN1048576,MATCH(TRUE,Data!PN2:PN1048576&lt;&gt;"",0))=2,"Mid-term (next 12-24 months)",
IF(INDEX(Data!PN2:PN1048576,MATCH(TRUE,Data!PN2:PN1048576&lt;&gt;"",0))=3,"Long-term (24 months and beyond)","")))</f>
        <v>#N/A</v>
      </c>
      <c r="E245" s="47" t="e" cm="1">
        <f t="array" ref="E245">INDEX(Data!PY2:PY1048576,MATCH(TRUE,Data!PY2:PY1048576&lt;&gt;"",0))</f>
        <v>#N/A</v>
      </c>
    </row>
    <row r="246" spans="3:5" ht="30" x14ac:dyDescent="0.25">
      <c r="C246" s="24" t="s">
        <v>1007</v>
      </c>
      <c r="D246" s="45" t="str" cm="1">
        <f t="array" ref="D246">IF(INDEX(Data!PO2:PO1048576,MATCH(TRUE,Data!PO2:PO1048576&lt;&gt;"",0))=1,"Short-term (next 12 months)",
IF(INDEX(Data!PO2:PO1048576,MATCH(TRUE,Data!PO2:PO1048576&lt;&gt;"",0))=2,"Mid-term (next 12-24 months)",
IF(INDEX(Data!PO2:PO1048576,MATCH(TRUE,Data!PO2:PO1048576&lt;&gt;"",0))=3,"Long-term (24 months and beyond)","")))</f>
        <v>Short-term (next 12 months)</v>
      </c>
      <c r="E246" s="47" t="str" cm="1">
        <f t="array" ref="E246">INDEX(Data!PZ2:PZ1048576,MATCH(TRUE,Data!PZ2:PZ1048576&lt;&gt;"",0))</f>
        <v>saas</v>
      </c>
    </row>
    <row r="247" spans="3:5" ht="30" x14ac:dyDescent="0.25">
      <c r="C247" s="24" t="s">
        <v>1008</v>
      </c>
      <c r="D247" s="45" t="e" cm="1">
        <f t="array" ref="D247">IF(INDEX(Data!PP2:PP1048576,MATCH(TRUE,Data!PP2:PP1048576&lt;&gt;"",0))=1,"Short-term (next 12 months)",
IF(INDEX(Data!PP2:PP1048576,MATCH(TRUE,Data!PP2:PP1048576&lt;&gt;"",0))=2,"Mid-term (next 12-24 months)",
IF(INDEX(Data!PP2:PP1048576,MATCH(TRUE,Data!PP2:PP1048576&lt;&gt;"",0))=3,"Long-term (24 months and beyond)","")))</f>
        <v>#N/A</v>
      </c>
      <c r="E247" s="47" t="e" cm="1">
        <f t="array" ref="E247">INDEX(Data!QA2:QA1048576,MATCH(TRUE,Data!QA2:QA1048576&lt;&gt;"",0))</f>
        <v>#N/A</v>
      </c>
    </row>
    <row r="248" spans="3:5" x14ac:dyDescent="0.25">
      <c r="C248" s="24" t="s">
        <v>1009</v>
      </c>
      <c r="D248" s="45" t="e" cm="1">
        <f t="array" ref="D248">IF(INDEX(Data!PQ2:PQ1048576,MATCH(TRUE,Data!PQ2:PQ1048576&lt;&gt;"",0))=1,"Short-term (next 12 months)",
IF(INDEX(Data!PQ2:PQ1048576,MATCH(TRUE,Data!PQ2:PQ1048576&lt;&gt;"",0))=2,"Mid-term (next 12-24 months)",
IF(INDEX(Data!PQ2:PQ1048576,MATCH(TRUE,Data!PQ2:PQ1048576&lt;&gt;"",0))=3,"Long-term (24 months and beyond)","")))</f>
        <v>#N/A</v>
      </c>
      <c r="E248" s="47" t="e" cm="1">
        <f t="array" ref="E248">INDEX(Data!QB2:QB1048576,MATCH(TRUE,Data!QB2:QB1048576&lt;&gt;"",0))</f>
        <v>#N/A</v>
      </c>
    </row>
    <row r="249" spans="3:5" ht="30" x14ac:dyDescent="0.25">
      <c r="C249" s="24" t="s">
        <v>1010</v>
      </c>
      <c r="D249" s="45" t="str" cm="1">
        <f t="array" ref="D249">IF(INDEX(Data!PR2:PR1048576,MATCH(TRUE,Data!PR2:PR1048576&lt;&gt;"",0))=1,"Short-term (next 12 months)",
IF(INDEX(Data!PR2:PR1048576,MATCH(TRUE,Data!PR2:PR1048576&lt;&gt;"",0))=2,"Mid-term (next 12-24 months)",
IF(INDEX(Data!PR2:PR1048576,MATCH(TRUE,Data!PR2:PR1048576&lt;&gt;"",0))=3,"Long-term (24 months and beyond)","")))</f>
        <v>Mid-term (next 12-24 months)</v>
      </c>
      <c r="E249" s="47" t="str" cm="1">
        <f t="array" ref="E249">INDEX(Data!QC2:QC1048576,MATCH(TRUE,Data!QC2:QC1048576&lt;&gt;"",0))</f>
        <v>sds</v>
      </c>
    </row>
    <row r="250" spans="3:5" ht="45" x14ac:dyDescent="0.25">
      <c r="C250" s="24" t="s">
        <v>1011</v>
      </c>
      <c r="D250" s="45" t="str" cm="1">
        <f t="array" ref="D250">IF(INDEX(Data!PS2:PS1048576,MATCH(TRUE,Data!PS2:PS1048576&lt;&gt;"",0))=1,"Short-term (next 12 months)",
IF(INDEX(Data!PS2:PS1048576,MATCH(TRUE,Data!PS2:PS1048576&lt;&gt;"",0))=2,"Mid-term (next 12-24 months)",
IF(INDEX(Data!PS2:PS1048576,MATCH(TRUE,Data!PS2:PS1048576&lt;&gt;"",0))=3,"Long-term (24 months and beyond)","")))</f>
        <v>Mid-term (next 12-24 months)</v>
      </c>
      <c r="E250" s="47" t="e" cm="1">
        <f t="array" ref="E250">INDEX(Data!QD2:QD1048576,MATCH(TRUE,Data!QD2:QD1048576&lt;&gt;"",0))</f>
        <v>#N/A</v>
      </c>
    </row>
    <row r="251" spans="3:5" ht="30" x14ac:dyDescent="0.25">
      <c r="C251" s="24" t="s">
        <v>903</v>
      </c>
      <c r="D251" s="45" t="str" cm="1">
        <f t="array" ref="D251">IF(INDEX(Data!PT2:PT1048576,MATCH(TRUE,Data!PT2:PT1048576&lt;&gt;"",0))=1,"Short-term (next 12 months)",
IF(INDEX(Data!PT2:PT1048576,MATCH(TRUE,Data!PT2:PT1048576&lt;&gt;"",0))=2,"Mid-term (next 12-24 months)",
IF(INDEX(Data!PT2:PT1048576,MATCH(TRUE,Data!PT2:PT1048576&lt;&gt;"",0))=3,"Long-term (24 months and beyond)","")))</f>
        <v>Mid-term (next 12-24 months)</v>
      </c>
      <c r="E251" s="47" t="str" cm="1">
        <f t="array" ref="E251">INDEX(Data!QE2:QE1048576,MATCH(TRUE,Data!QE2:QE1048576&lt;&gt;"",0))</f>
        <v>ED</v>
      </c>
    </row>
    <row r="252" spans="3:5" x14ac:dyDescent="0.25">
      <c r="C252" s="24" t="s">
        <v>903</v>
      </c>
      <c r="D252" s="45" t="e" cm="1">
        <f t="array" ref="D252">IF(INDEX(Data!PU2:PU1048576,MATCH(TRUE,Data!PU2:PU1048576&lt;&gt;"",0))=1,"Short-term (next 12 months)",
IF(INDEX(Data!PU2:PU1048576,MATCH(TRUE,Data!PU2:PU1048576&lt;&gt;"",0))=2,"Mid-term (next 12-24 months)",
IF(INDEX(Data!PU2:PU1048576,MATCH(TRUE,Data!PU2:PU1048576&lt;&gt;"",0))=3,"Long-term (24 months and beyond)","")))</f>
        <v>#N/A</v>
      </c>
      <c r="E252" s="47" t="e" cm="1">
        <f t="array" ref="E252">INDEX(Data!QF2:QF1048576,MATCH(TRUE,Data!QF2:QF1048576&lt;&gt;"",0))</f>
        <v>#N/A</v>
      </c>
    </row>
    <row r="253" spans="3:5" x14ac:dyDescent="0.25">
      <c r="C253" s="24" t="s">
        <v>903</v>
      </c>
      <c r="D253" s="45" t="e" cm="1">
        <f t="array" ref="D253">IF(INDEX(Data!PV2:PV1048576,MATCH(TRUE,Data!PV2:PV1048576&lt;&gt;"",0))=1,"Short-term (next 12 months)",
IF(INDEX(Data!PV2:PV1048576,MATCH(TRUE,Data!PV2:PV1048576&lt;&gt;"",0))=2,"Mid-term (next 12-24 months)",
IF(INDEX(Data!PV2:PV1048576,MATCH(TRUE,Data!PV2:PV1048576&lt;&gt;"",0))=3,"Long-term (24 months and beyond)","")))</f>
        <v>#N/A</v>
      </c>
      <c r="E253" s="47" t="str" cm="1">
        <f t="array" ref="E253">INDEX(Data!QG2:QG1048576,MATCH(TRUE,Data!QG2:QG1048576&lt;&gt;"",0))</f>
        <v>TEST</v>
      </c>
    </row>
    <row r="258" spans="3:5" ht="15.6" thickBot="1" x14ac:dyDescent="0.3"/>
    <row r="259" spans="3:5" ht="35.4" thickBot="1" x14ac:dyDescent="0.3">
      <c r="C259" s="26" t="s">
        <v>20</v>
      </c>
      <c r="D259" s="44" t="s">
        <v>894</v>
      </c>
      <c r="E259" s="44" t="s">
        <v>895</v>
      </c>
    </row>
    <row r="260" spans="3:5" ht="30" x14ac:dyDescent="0.25">
      <c r="C260" s="24" t="s">
        <v>1012</v>
      </c>
      <c r="D260" s="45" t="str" cm="1">
        <f t="array" ref="D260">IF(INDEX(Data!QK2:QK1048576,MATCH(TRUE,Data!QK2:QK1048576&lt;&gt;"",0))=1,"Short-term (next 12 months)",
IF(INDEX(Data!QK2:QK1048576,MATCH(TRUE,Data!QK2:QK1048576&lt;&gt;"",0))=2,"Mid-term (next 12-24 months)",
IF(INDEX(Data!QK2:QK1048576,MATCH(TRUE,Data!QK2:QK1048576&lt;&gt;"",0))=3,"Long-term (24 months and beyond)","")))</f>
        <v>Mid-term (next 12-24 months)</v>
      </c>
      <c r="E260" s="47" t="e" cm="1">
        <f t="array" ref="E260">INDEX(Data!QX2:QX1048576,MATCH(TRUE,Data!QX2:QX1048576&lt;&gt;"",0))</f>
        <v>#N/A</v>
      </c>
    </row>
    <row r="261" spans="3:5" ht="30" x14ac:dyDescent="0.25">
      <c r="C261" s="24" t="s">
        <v>1013</v>
      </c>
      <c r="D261" s="45" t="str" cm="1">
        <f t="array" ref="D261">IF(INDEX(Data!QL2:QL1048576,MATCH(TRUE,Data!QL2:QL1048576&lt;&gt;"",0))=1,"Short-term (next 12 months)",
IF(INDEX(Data!QL2:QL1048576,MATCH(TRUE,Data!QL2:QL1048576&lt;&gt;"",0))=2,"Mid-term (next 12-24 months)",
IF(INDEX(Data!QL2:QL1048576,MATCH(TRUE,Data!QL2:QL1048576&lt;&gt;"",0))=3,"Long-term (24 months and beyond)","")))</f>
        <v>Mid-term (next 12-24 months)</v>
      </c>
      <c r="E261" s="47" t="e" cm="1">
        <f t="array" ref="E261">INDEX(Data!QY2:QY1048576,MATCH(TRUE,Data!QY2:QY1048576&lt;&gt;"",0))</f>
        <v>#N/A</v>
      </c>
    </row>
    <row r="262" spans="3:5" x14ac:dyDescent="0.25">
      <c r="C262" s="24" t="s">
        <v>1014</v>
      </c>
      <c r="D262" s="45" t="e" cm="1">
        <f t="array" ref="D262">IF(INDEX(Data!QM2:QM1048576,MATCH(TRUE,Data!QM2:QM1048576&lt;&gt;"",0))=1,"Short-term (next 12 months)",
IF(INDEX(Data!QM2:QM1048576,MATCH(TRUE,Data!QM2:QM1048576&lt;&gt;"",0))=2,"Mid-term (next 12-24 months)",
IF(INDEX(Data!QM2:QM1048576,MATCH(TRUE,Data!QM2:QM1048576&lt;&gt;"",0))=3,"Long-term (24 months and beyond)","")))</f>
        <v>#N/A</v>
      </c>
      <c r="E262" s="47" t="e" cm="1">
        <f t="array" ref="E262">INDEX(Data!QZ2:QZ1048576,MATCH(TRUE,Data!QZ2:QZ1048576&lt;&gt;"",0))</f>
        <v>#N/A</v>
      </c>
    </row>
    <row r="263" spans="3:5" x14ac:dyDescent="0.25">
      <c r="C263" s="24" t="s">
        <v>1015</v>
      </c>
      <c r="D263" s="45" t="e" cm="1">
        <f t="array" ref="D263">IF(INDEX(Data!QN2:QN1048576,MATCH(TRUE,Data!QN2:QN1048576&lt;&gt;"",0))=1,"Short-term (next 12 months)",
IF(INDEX(Data!QN2:QN1048576,MATCH(TRUE,Data!QN2:QN1048576&lt;&gt;"",0))=2,"Mid-term (next 12-24 months)",
IF(INDEX(Data!QN2:QN1048576,MATCH(TRUE,Data!QN2:QN1048576&lt;&gt;"",0))=3,"Long-term (24 months and beyond)","")))</f>
        <v>#N/A</v>
      </c>
      <c r="E263" s="47" t="e" cm="1">
        <f t="array" ref="E263">INDEX(Data!RA2:RA1048576,MATCH(TRUE,Data!RA2:RA1048576&lt;&gt;"",0))</f>
        <v>#N/A</v>
      </c>
    </row>
    <row r="264" spans="3:5" x14ac:dyDescent="0.25">
      <c r="C264" s="24" t="s">
        <v>1016</v>
      </c>
      <c r="D264" s="45" t="e" cm="1">
        <f t="array" ref="D264">IF(INDEX(Data!QO2:QO1048576,MATCH(TRUE,Data!QO2:QO1048576&lt;&gt;"",0))=1,"Short-term (next 12 months)",
IF(INDEX(Data!QO2:QO1048576,MATCH(TRUE,Data!QO2:QO1048576&lt;&gt;"",0))=2,"Mid-term (next 12-24 months)",
IF(INDEX(Data!QO2:QO1048576,MATCH(TRUE,Data!QO2:QO1048576&lt;&gt;"",0))=3,"Long-term (24 months and beyond)","")))</f>
        <v>#N/A</v>
      </c>
      <c r="E264" s="47" t="e" cm="1">
        <f t="array" ref="E264">INDEX(Data!RB2:RB1048576,MATCH(TRUE,Data!RB2:RB1048576&lt;&gt;"",0))</f>
        <v>#N/A</v>
      </c>
    </row>
    <row r="265" spans="3:5" x14ac:dyDescent="0.25">
      <c r="C265" s="24" t="s">
        <v>1017</v>
      </c>
      <c r="D265" s="45" t="e" cm="1">
        <f t="array" ref="D265">IF(INDEX(Data!QP2:QP1048576,MATCH(TRUE,Data!QP2:QP1048576&lt;&gt;"",0))=1,"Short-term (next 12 months)",
IF(INDEX(Data!QP2:QP1048576,MATCH(TRUE,Data!QP2:QP1048576&lt;&gt;"",0))=2,"Mid-term (next 12-24 months)",
IF(INDEX(Data!QP2:QP1048576,MATCH(TRUE,Data!QP2:QP1048576&lt;&gt;"",0))=3,"Long-term (24 months and beyond)","")))</f>
        <v>#N/A</v>
      </c>
      <c r="E265" s="47" t="e" cm="1">
        <f t="array" ref="E265">INDEX(Data!RC2:RC1048576,MATCH(TRUE,Data!RC2:RC1048576&lt;&gt;"",0))</f>
        <v>#N/A</v>
      </c>
    </row>
    <row r="266" spans="3:5" ht="30" x14ac:dyDescent="0.25">
      <c r="C266" s="24" t="s">
        <v>1018</v>
      </c>
      <c r="D266" s="45" t="e" cm="1">
        <f t="array" ref="D266">IF(INDEX(Data!QQ2:QQ1048576,MATCH(TRUE,Data!QQ2:QQ1048576&lt;&gt;"",0))=1,"Short-term (next 12 months)",
IF(INDEX(Data!QQ2:QQ1048576,MATCH(TRUE,Data!QQ2:QQ1048576&lt;&gt;"",0))=2,"Mid-term (next 12-24 months)",
IF(INDEX(Data!QQ2:QQ1048576,MATCH(TRUE,Data!QQ2:QQ1048576&lt;&gt;"",0))=3,"Long-term (24 months and beyond)","")))</f>
        <v>#N/A</v>
      </c>
      <c r="E266" s="47" t="e" cm="1">
        <f t="array" ref="E266">INDEX(Data!RD2:RD1048576,MATCH(TRUE,Data!RD2:RD1048576&lt;&gt;"",0))</f>
        <v>#N/A</v>
      </c>
    </row>
    <row r="267" spans="3:5" x14ac:dyDescent="0.25">
      <c r="C267" s="24" t="s">
        <v>1019</v>
      </c>
      <c r="D267" s="45" t="e" cm="1">
        <f t="array" ref="D267">IF(INDEX(Data!QR2:QR1048576,MATCH(TRUE,Data!QR2:QR1048576&lt;&gt;"",0))=1,"Short-term (next 12 months)",
IF(INDEX(Data!QR2:QR1048576,MATCH(TRUE,Data!QR2:QR1048576&lt;&gt;"",0))=2,"Mid-term (next 12-24 months)",
IF(INDEX(Data!QR2:QR1048576,MATCH(TRUE,Data!QR2:QR1048576&lt;&gt;"",0))=3,"Long-term (24 months and beyond)","")))</f>
        <v>#N/A</v>
      </c>
      <c r="E267" s="47" t="e" cm="1">
        <f t="array" ref="E267">INDEX(Data!RE2:RE1048576,MATCH(TRUE,Data!RE2:RE1048576&lt;&gt;"",0))</f>
        <v>#N/A</v>
      </c>
    </row>
    <row r="268" spans="3:5" ht="30" x14ac:dyDescent="0.25">
      <c r="C268" s="24" t="s">
        <v>1020</v>
      </c>
      <c r="D268" s="45" t="str" cm="1">
        <f t="array" ref="D268">IF(INDEX(Data!QS2:QS1048576,MATCH(TRUE,Data!QS2:QS1048576&lt;&gt;"",0))=1,"Short-term (next 12 months)",
IF(INDEX(Data!QS2:QS1048576,MATCH(TRUE,Data!QS2:QS1048576&lt;&gt;"",0))=2,"Mid-term (next 12-24 months)",
IF(INDEX(Data!QS2:QS1048576,MATCH(TRUE,Data!QS2:QS1048576&lt;&gt;"",0))=3,"Long-term (24 months and beyond)","")))</f>
        <v>Mid-term (next 12-24 months)</v>
      </c>
      <c r="E268" s="47" t="str" cm="1">
        <f t="array" ref="E268">INDEX(Data!RF2:RF1048576,MATCH(TRUE,Data!RF2:RF1048576&lt;&gt;"",0))</f>
        <v>OK</v>
      </c>
    </row>
    <row r="269" spans="3:5" ht="30" x14ac:dyDescent="0.25">
      <c r="C269" s="24" t="s">
        <v>1021</v>
      </c>
      <c r="D269" s="45" t="e" cm="1">
        <f t="array" ref="D269">IF(INDEX(Data!QT2:QT1048576,MATCH(TRUE,Data!QT2:QT1048576&lt;&gt;"",0))=1,"Short-term (next 12 months)",
IF(INDEX(Data!QT2:QT1048576,MATCH(TRUE,Data!QT2:QT1048576&lt;&gt;"",0))=2,"Mid-term (next 12-24 months)",
IF(INDEX(Data!QT2:QT1048576,MATCH(TRUE,Data!QT2:QT1048576&lt;&gt;"",0))=3,"Long-term (24 months and beyond)","")))</f>
        <v>#N/A</v>
      </c>
      <c r="E269" s="47" t="e" cm="1">
        <f t="array" ref="E269">INDEX(Data!RG2:RG1048576,MATCH(TRUE,Data!RG2:RG1048576&lt;&gt;"",0))</f>
        <v>#N/A</v>
      </c>
    </row>
    <row r="270" spans="3:5" x14ac:dyDescent="0.25">
      <c r="C270" s="24" t="s">
        <v>903</v>
      </c>
      <c r="D270" s="45" t="e" cm="1">
        <f t="array" ref="D270">IF(INDEX(Data!QU2:QU1048576,MATCH(TRUE,Data!QU2:QU1048576&lt;&gt;"",0))=1,"Short-term (next 12 months)",
IF(INDEX(Data!QU2:QU1048576,MATCH(TRUE,Data!QU2:QU1048576&lt;&gt;"",0))=2,"Mid-term (next 12-24 months)",
IF(INDEX(Data!QU2:QU1048576,MATCH(TRUE,Data!QU2:QU1048576&lt;&gt;"",0))=3,"Long-term (24 months and beyond)","")))</f>
        <v>#N/A</v>
      </c>
      <c r="E270" s="47" t="e" cm="1">
        <f t="array" ref="E270">INDEX(Data!RH2:RH1048576,MATCH(TRUE,Data!RH2:RH1048576&lt;&gt;"",0))</f>
        <v>#N/A</v>
      </c>
    </row>
    <row r="271" spans="3:5" x14ac:dyDescent="0.25">
      <c r="C271" s="24" t="s">
        <v>903</v>
      </c>
      <c r="D271" s="45" t="e" cm="1">
        <f t="array" ref="D271">IF(INDEX(Data!QV2:QV1048576,MATCH(TRUE,Data!QV2:QV1048576&lt;&gt;"",0))=1,"Short-term (next 12 months)",
IF(INDEX(Data!QV2:QV1048576,MATCH(TRUE,Data!QV2:QV1048576&lt;&gt;"",0))=2,"Mid-term (next 12-24 months)",
IF(INDEX(Data!QV2:QV1048576,MATCH(TRUE,Data!QV2:QV1048576&lt;&gt;"",0))=3,"Long-term (24 months and beyond)","")))</f>
        <v>#N/A</v>
      </c>
      <c r="E271" s="47" t="e" cm="1">
        <f t="array" ref="E271">INDEX(Data!RI2:RI1048576,MATCH(TRUE,Data!RI2:RI1048576&lt;&gt;"",0))</f>
        <v>#N/A</v>
      </c>
    </row>
    <row r="272" spans="3:5" x14ac:dyDescent="0.25">
      <c r="C272" s="24" t="s">
        <v>903</v>
      </c>
      <c r="D272" s="45" t="e" cm="1">
        <f t="array" ref="D272">IF(INDEX(Data!QW2:QW1048576,MATCH(TRUE,Data!QW2:QW1048576&lt;&gt;"",0))=1,"Short-term (next 12 months)",
IF(INDEX(Data!QW2:QW1048576,MATCH(TRUE,Data!QW2:QW1048576&lt;&gt;"",0))=2,"Mid-term (next 12-24 months)",
IF(INDEX(Data!QW2:QW1048576,MATCH(TRUE,Data!QW2:QW1048576&lt;&gt;"",0))=3,"Long-term (24 months and beyond)","")))</f>
        <v>#N/A</v>
      </c>
      <c r="E272" s="47" t="e" cm="1">
        <f t="array" ref="E272">INDEX(Data!RJ2:RJ1048576,MATCH(TRUE,Data!RJ2:RJ1048576&lt;&gt;"",0))</f>
        <v>#N/A</v>
      </c>
    </row>
    <row r="277" spans="3:5" ht="15.6" thickBot="1" x14ac:dyDescent="0.3"/>
    <row r="278" spans="3:5" ht="35.4" thickBot="1" x14ac:dyDescent="0.3">
      <c r="C278" s="26" t="s">
        <v>22</v>
      </c>
      <c r="D278" s="44" t="s">
        <v>894</v>
      </c>
      <c r="E278" s="44" t="s">
        <v>895</v>
      </c>
    </row>
    <row r="279" spans="3:5" x14ac:dyDescent="0.25">
      <c r="C279" s="24" t="s">
        <v>1022</v>
      </c>
      <c r="D279" s="45" t="e" cm="1">
        <f t="array" ref="D279">IF(INDEX(Data!RN2:RN1048576,MATCH(TRUE,Data!RN2:RN1048576&lt;&gt;"",0))=1,"Short-term (next 12 months)",
IF(INDEX(Data!RN2:RN1048576,MATCH(TRUE,Data!RN2:RN1048576&lt;&gt;"",0))=2,"Mid-term (next 12-24 months)",
IF(INDEX(Data!RN2:RN1048576,MATCH(TRUE,Data!RN2:RN1048576&lt;&gt;"",0))=3,"Long-term (24 months and beyond)","")))</f>
        <v>#N/A</v>
      </c>
      <c r="E279" s="47" t="e" cm="1">
        <f t="array" ref="E279">INDEX(Data!SD2:SD1048576,MATCH(TRUE,Data!SD2:SD1048576&lt;&gt;"",0))</f>
        <v>#N/A</v>
      </c>
    </row>
    <row r="280" spans="3:5" ht="30" x14ac:dyDescent="0.25">
      <c r="C280" s="24" t="s">
        <v>1023</v>
      </c>
      <c r="D280" s="45" t="str" cm="1">
        <f t="array" ref="D280">IF(INDEX(Data!RO2:RO1048576,MATCH(TRUE,Data!RO2:RO1048576&lt;&gt;"",0))=1,"Short-term (next 12 months)",
IF(INDEX(Data!RO2:RO1048576,MATCH(TRUE,Data!RO2:RO1048576&lt;&gt;"",0))=2,"Mid-term (next 12-24 months)",
IF(INDEX(Data!RO2:RO1048576,MATCH(TRUE,Data!RO2:RO1048576&lt;&gt;"",0))=3,"Long-term (24 months and beyond)","")))</f>
        <v>Short-term (next 12 months)</v>
      </c>
      <c r="E280" s="47" t="str" cm="1">
        <f t="array" ref="E280">INDEX(Data!SE2:SE1048576,MATCH(TRUE,Data!SE2:SE1048576&lt;&gt;"",0))</f>
        <v>OK</v>
      </c>
    </row>
    <row r="281" spans="3:5" ht="30" x14ac:dyDescent="0.25">
      <c r="C281" s="24" t="s">
        <v>1024</v>
      </c>
      <c r="D281" s="45" t="e" cm="1">
        <f t="array" ref="D281">IF(INDEX(Data!RP2:RP1048576,MATCH(TRUE,Data!RP2:RP1048576&lt;&gt;"",0))=1,"Short-term (next 12 months)",
IF(INDEX(Data!RP2:RP1048576,MATCH(TRUE,Data!RP2:RP1048576&lt;&gt;"",0))=2,"Mid-term (next 12-24 months)",
IF(INDEX(Data!RP2:RP1048576,MATCH(TRUE,Data!RP2:RP1048576&lt;&gt;"",0))=3,"Long-term (24 months and beyond)","")))</f>
        <v>#N/A</v>
      </c>
      <c r="E281" s="47" t="e" cm="1">
        <f t="array" ref="E281">INDEX(Data!SF2:SF1048576,MATCH(TRUE,Data!SF2:SF1048576&lt;&gt;"",0))</f>
        <v>#N/A</v>
      </c>
    </row>
    <row r="282" spans="3:5" ht="30" x14ac:dyDescent="0.25">
      <c r="C282" s="24" t="s">
        <v>1025</v>
      </c>
      <c r="D282" s="45" t="e" cm="1">
        <f t="array" ref="D282">IF(INDEX(Data!RQ2:RQ1048576,MATCH(TRUE,Data!RQ2:RQ1048576&lt;&gt;"",0))=1,"Short-term (next 12 months)",
IF(INDEX(Data!RQ2:RQ1048576,MATCH(TRUE,Data!RQ2:RQ1048576&lt;&gt;"",0))=2,"Mid-term (next 12-24 months)",
IF(INDEX(Data!RQ2:RQ1048576,MATCH(TRUE,Data!RQ2:RQ1048576&lt;&gt;"",0))=3,"Long-term (24 months and beyond)","")))</f>
        <v>#N/A</v>
      </c>
      <c r="E282" s="47" t="e" cm="1">
        <f t="array" ref="E282">INDEX(Data!SG2:SG1048576,MATCH(TRUE,Data!SG2:SG1048576&lt;&gt;"",0))</f>
        <v>#N/A</v>
      </c>
    </row>
    <row r="283" spans="3:5" x14ac:dyDescent="0.25">
      <c r="C283" s="24" t="s">
        <v>1026</v>
      </c>
      <c r="D283" s="45" t="e" cm="1">
        <f t="array" ref="D283">IF(INDEX(Data!RR2:RR1048576,MATCH(TRUE,Data!RR2:RR1048576&lt;&gt;"",0))=1,"Short-term (next 12 months)",
IF(INDEX(Data!RR2:RR1048576,MATCH(TRUE,Data!RR2:RR1048576&lt;&gt;"",0))=2,"Mid-term (next 12-24 months)",
IF(INDEX(Data!RR2:RR1048576,MATCH(TRUE,Data!RR2:RR1048576&lt;&gt;"",0))=3,"Long-term (24 months and beyond)","")))</f>
        <v>#N/A</v>
      </c>
      <c r="E283" s="47" t="e" cm="1">
        <f t="array" ref="E283">INDEX(Data!SH2:SH1048576,MATCH(TRUE,Data!SH2:SH1048576&lt;&gt;"",0))</f>
        <v>#N/A</v>
      </c>
    </row>
    <row r="284" spans="3:5" x14ac:dyDescent="0.25">
      <c r="C284" s="24" t="s">
        <v>1027</v>
      </c>
      <c r="D284" s="45" t="e" cm="1">
        <f t="array" ref="D284">IF(INDEX(Data!RS2:RS1048576,MATCH(TRUE,Data!RS2:RS1048576&lt;&gt;"",0))=1,"Short-term (next 12 months)",
IF(INDEX(Data!RS2:RS1048576,MATCH(TRUE,Data!RS2:RS1048576&lt;&gt;"",0))=2,"Mid-term (next 12-24 months)",
IF(INDEX(Data!RS2:RS1048576,MATCH(TRUE,Data!RS2:RS1048576&lt;&gt;"",0))=3,"Long-term (24 months and beyond)","")))</f>
        <v>#N/A</v>
      </c>
      <c r="E284" s="47" t="e" cm="1">
        <f t="array" ref="E284">INDEX(Data!SI2:SI1048576,MATCH(TRUE,Data!SI2:SI1048576&lt;&gt;"",0))</f>
        <v>#N/A</v>
      </c>
    </row>
    <row r="285" spans="3:5" ht="45" x14ac:dyDescent="0.25">
      <c r="C285" s="24" t="s">
        <v>1000</v>
      </c>
      <c r="D285" s="45" t="e" cm="1">
        <f t="array" ref="D285">IF(INDEX(Data!RT2:RT1048576,MATCH(TRUE,Data!RT2:RT1048576&lt;&gt;"",0))=1,"Short-term (next 12 months)",
IF(INDEX(Data!RT2:RT1048576,MATCH(TRUE,Data!RT2:RT1048576&lt;&gt;"",0))=2,"Mid-term (next 12-24 months)",
IF(INDEX(Data!RT2:RT1048576,MATCH(TRUE,Data!RT2:RT1048576&lt;&gt;"",0))=3,"Long-term (24 months and beyond)","")))</f>
        <v>#N/A</v>
      </c>
      <c r="E285" s="47" t="e" cm="1">
        <f t="array" ref="E285">INDEX(Data!SJ2:SJ1048576,MATCH(TRUE,Data!SJ2:SJ1048576&lt;&gt;"",0))</f>
        <v>#N/A</v>
      </c>
    </row>
    <row r="286" spans="3:5" x14ac:dyDescent="0.25">
      <c r="C286" s="24" t="s">
        <v>1001</v>
      </c>
      <c r="D286" s="45" t="e" cm="1">
        <f t="array" ref="D286">IF(INDEX(Data!RU2:RU1048576,MATCH(TRUE,Data!RU2:RU1048576&lt;&gt;"",0))=1,"Short-term (next 12 months)",
IF(INDEX(Data!RU2:RU1048576,MATCH(TRUE,Data!RU2:RU1048576&lt;&gt;"",0))=2,"Mid-term (next 12-24 months)",
IF(INDEX(Data!RU2:RU1048576,MATCH(TRUE,Data!RU2:RU1048576&lt;&gt;"",0))=3,"Long-term (24 months and beyond)","")))</f>
        <v>#N/A</v>
      </c>
      <c r="E286" s="47" t="e" cm="1">
        <f t="array" ref="E286">INDEX(Data!SK2:SK1048576,MATCH(TRUE,Data!SK2:SK1048576&lt;&gt;"",0))</f>
        <v>#N/A</v>
      </c>
    </row>
    <row r="287" spans="3:5" x14ac:dyDescent="0.25">
      <c r="C287" s="24" t="s">
        <v>1028</v>
      </c>
      <c r="D287" s="45" t="e" cm="1">
        <f t="array" ref="D287">IF(INDEX(Data!RV2:RV1048576,MATCH(TRUE,Data!RV2:RV1048576&lt;&gt;"",0))=1,"Short-term (next 12 months)",
IF(INDEX(Data!RV2:RV1048576,MATCH(TRUE,Data!RV2:RV1048576&lt;&gt;"",0))=2,"Mid-term (next 12-24 months)",
IF(INDEX(Data!RV2:RV1048576,MATCH(TRUE,Data!RV2:RV1048576&lt;&gt;"",0))=3,"Long-term (24 months and beyond)","")))</f>
        <v>#N/A</v>
      </c>
      <c r="E287" s="47" t="e" cm="1">
        <f t="array" ref="E287">INDEX(Data!SL2:SL1048576,MATCH(TRUE,Data!SL2:SL1048576&lt;&gt;"",0))</f>
        <v>#N/A</v>
      </c>
    </row>
    <row r="288" spans="3:5" ht="45" x14ac:dyDescent="0.25">
      <c r="C288" s="24" t="s">
        <v>1029</v>
      </c>
      <c r="D288" s="45" t="e" cm="1">
        <f t="array" ref="D288">IF(INDEX(Data!RW2:RW1048576,MATCH(TRUE,Data!RW2:RW1048576&lt;&gt;"",0))=1,"Short-term (next 12 months)",
IF(INDEX(Data!RW2:RW1048576,MATCH(TRUE,Data!RW2:RW1048576&lt;&gt;"",0))=2,"Mid-term (next 12-24 months)",
IF(INDEX(Data!RW2:RW1048576,MATCH(TRUE,Data!RW2:RW1048576&lt;&gt;"",0))=3,"Long-term (24 months and beyond)","")))</f>
        <v>#N/A</v>
      </c>
      <c r="E288" s="47" t="e" cm="1">
        <f t="array" ref="E288">INDEX(Data!SM2:SM1048576,MATCH(TRUE,Data!SM2:SM1048576&lt;&gt;"",0))</f>
        <v>#N/A</v>
      </c>
    </row>
    <row r="289" spans="3:5" ht="45" x14ac:dyDescent="0.25">
      <c r="C289" s="24" t="s">
        <v>1002</v>
      </c>
      <c r="D289" s="45" t="e" cm="1">
        <f t="array" ref="D289">IF(INDEX(Data!RX2:RX1048576,MATCH(TRUE,Data!RX2:RX1048576&lt;&gt;"",0))=1,"Short-term (next 12 months)",
IF(INDEX(Data!RX2:RX1048576,MATCH(TRUE,Data!RX2:RX1048576&lt;&gt;"",0))=2,"Mid-term (next 12-24 months)",
IF(INDEX(Data!RX2:RX1048576,MATCH(TRUE,Data!RX2:RX1048576&lt;&gt;"",0))=3,"Long-term (24 months and beyond)","")))</f>
        <v>#N/A</v>
      </c>
      <c r="E289" s="47" t="e" cm="1">
        <f t="array" ref="E289">INDEX(Data!SN2:SN1048576,MATCH(TRUE,Data!SN2:SN1048576&lt;&gt;"",0))</f>
        <v>#N/A</v>
      </c>
    </row>
    <row r="290" spans="3:5" ht="30" x14ac:dyDescent="0.25">
      <c r="C290" s="24" t="s">
        <v>999</v>
      </c>
      <c r="D290" s="45" t="e" cm="1">
        <f t="array" ref="D290">IF(INDEX(Data!RY2:RY1048576,MATCH(TRUE,Data!RY2:RY1048576&lt;&gt;"",0))=1,"Short-term (next 12 months)",
IF(INDEX(Data!RY2:RY1048576,MATCH(TRUE,Data!RY2:RY1048576&lt;&gt;"",0))=2,"Mid-term (next 12-24 months)",
IF(INDEX(Data!RY2:RY1048576,MATCH(TRUE,Data!RY2:RY1048576&lt;&gt;"",0))=3,"Long-term (24 months and beyond)","")))</f>
        <v>#N/A</v>
      </c>
      <c r="E290" s="47" t="e" cm="1">
        <f t="array" ref="E290">INDEX(Data!SO2:SO1048576,MATCH(TRUE,Data!SO2:SO1048576&lt;&gt;"",0))</f>
        <v>#N/A</v>
      </c>
    </row>
    <row r="291" spans="3:5" ht="45" x14ac:dyDescent="0.25">
      <c r="C291" s="24" t="s">
        <v>995</v>
      </c>
      <c r="D291" s="45" t="e" cm="1">
        <f t="array" ref="D291">IF(INDEX(Data!RZ2:RZ1048576,MATCH(TRUE,Data!RZ2:RZ1048576&lt;&gt;"",0))=1,"Short-term (next 12 months)",
IF(INDEX(Data!RZ2:RZ1048576,MATCH(TRUE,Data!RZ2:RZ1048576&lt;&gt;"",0))=2,"Mid-term (next 12-24 months)",
IF(INDEX(Data!RZ2:RZ1048576,MATCH(TRUE,Data!RZ2:RZ1048576&lt;&gt;"",0))=3,"Long-term (24 months and beyond)","")))</f>
        <v>#N/A</v>
      </c>
      <c r="E291" s="47" t="e" cm="1">
        <f t="array" ref="E291">INDEX(Data!SP2:SP1048576,MATCH(TRUE,Data!SP2:SP1048576&lt;&gt;"",0))</f>
        <v>#N/A</v>
      </c>
    </row>
    <row r="292" spans="3:5" x14ac:dyDescent="0.25">
      <c r="C292" s="24" t="s">
        <v>903</v>
      </c>
      <c r="D292" s="45" t="e" cm="1">
        <f t="array" ref="D292">IF(INDEX(Data!SA2:SA1048576,MATCH(TRUE,Data!SA2:SA1048576&lt;&gt;"",0))=1,"Short-term (next 12 months)",
IF(INDEX(Data!SA2:SA1048576,MATCH(TRUE,Data!SA2:SA1048576&lt;&gt;"",0))=2,"Mid-term (next 12-24 months)",
IF(INDEX(Data!SA2:SA1048576,MATCH(TRUE,Data!SA2:SA1048576&lt;&gt;"",0))=3,"Long-term (24 months and beyond)","")))</f>
        <v>#N/A</v>
      </c>
      <c r="E292" s="47" t="e" cm="1">
        <f t="array" ref="E292">INDEX(Data!SQ2:SQ1048576,MATCH(TRUE,Data!SQ2:SQ1048576&lt;&gt;"",0))</f>
        <v>#N/A</v>
      </c>
    </row>
    <row r="293" spans="3:5" x14ac:dyDescent="0.25">
      <c r="C293" s="24" t="s">
        <v>903</v>
      </c>
      <c r="D293" s="45" t="e" cm="1">
        <f t="array" ref="D293">IF(INDEX(Data!SB2:SB1048576,MATCH(TRUE,Data!SB2:SB1048576&lt;&gt;"",0))=1,"Short-term (next 12 months)",
IF(INDEX(Data!SB2:SB1048576,MATCH(TRUE,Data!SB2:SB1048576&lt;&gt;"",0))=2,"Mid-term (next 12-24 months)",
IF(INDEX(Data!SB2:SB1048576,MATCH(TRUE,Data!SB2:SB1048576&lt;&gt;"",0))=3,"Long-term (24 months and beyond)","")))</f>
        <v>#N/A</v>
      </c>
      <c r="E293" s="47" t="e" cm="1">
        <f t="array" ref="E293">INDEX(Data!SR2:SR1048576,MATCH(TRUE,Data!SR2:SR1048576&lt;&gt;"",0))</f>
        <v>#N/A</v>
      </c>
    </row>
    <row r="294" spans="3:5" ht="30" x14ac:dyDescent="0.25">
      <c r="C294" s="24" t="s">
        <v>903</v>
      </c>
      <c r="D294" s="45" t="str" cm="1">
        <f t="array" ref="D294">IF(INDEX(Data!SC2:SC1048576,MATCH(TRUE,Data!SC2:SC1048576&lt;&gt;"",0))=1,"Short-term (next 12 months)",
IF(INDEX(Data!SC2:SC1048576,MATCH(TRUE,Data!SC2:SC1048576&lt;&gt;"",0))=2,"Mid-term (next 12-24 months)",
IF(INDEX(Data!SC2:SC1048576,MATCH(TRUE,Data!SC2:SC1048576&lt;&gt;"",0))=3,"Long-term (24 months and beyond)","")))</f>
        <v>Mid-term (next 12-24 months)</v>
      </c>
      <c r="E294" s="47" t="str" cm="1">
        <f t="array" ref="E294">INDEX(Data!SS2:SS1048576,MATCH(TRUE,Data!SS2:SS1048576&lt;&gt;"",0))</f>
        <v>Test</v>
      </c>
    </row>
    <row r="299" spans="3:5" ht="15.6" thickBot="1" x14ac:dyDescent="0.3"/>
    <row r="300" spans="3:5" ht="35.4" thickBot="1" x14ac:dyDescent="0.3">
      <c r="C300" s="26" t="s">
        <v>1030</v>
      </c>
      <c r="D300" s="44" t="s">
        <v>894</v>
      </c>
      <c r="E300" s="44" t="s">
        <v>895</v>
      </c>
    </row>
    <row r="301" spans="3:5" x14ac:dyDescent="0.25">
      <c r="C301" s="24" t="s">
        <v>1031</v>
      </c>
      <c r="D301" s="45" t="e" cm="1">
        <f t="array" ref="D301">IF(INDEX(Data!SW2:SW1048576,MATCH(TRUE,Data!SW2:SW1048576&lt;&gt;"",0))=1,"Short-term (next 12 months)",
IF(INDEX(Data!SW2:SW1048576,MATCH(TRUE,Data!SW2:SW1048576&lt;&gt;"",0))=2,"Mid-term (next 12-24 months)",
IF(INDEX(Data!SW2:SW1048576,MATCH(TRUE,Data!SW2:SW1048576&lt;&gt;"",0))=3,"Long-term (24 months and beyond)","")))</f>
        <v>#N/A</v>
      </c>
      <c r="E301" s="47" t="e" cm="1">
        <f t="array" ref="E301">INDEX(Data!TE2:TE1048576,MATCH(TRUE,Data!TE2:TE1048576&lt;&gt;"",0))</f>
        <v>#N/A</v>
      </c>
    </row>
    <row r="302" spans="3:5" x14ac:dyDescent="0.25">
      <c r="C302" s="24" t="s">
        <v>1032</v>
      </c>
      <c r="D302" s="45" t="e" cm="1">
        <f t="array" ref="D302">IF(INDEX(Data!SX2:SX1048576,MATCH(TRUE,Data!SX2:SX1048576&lt;&gt;"",0))=1,"Short-term (next 12 months)",
IF(INDEX(Data!SX2:SX1048576,MATCH(TRUE,Data!SX2:SX1048576&lt;&gt;"",0))=2,"Mid-term (next 12-24 months)",
IF(INDEX(Data!SX2:SX1048576,MATCH(TRUE,Data!SX2:SX1048576&lt;&gt;"",0))=3,"Long-term (24 months and beyond)","")))</f>
        <v>#N/A</v>
      </c>
      <c r="E302" s="47" t="e" cm="1">
        <f t="array" ref="E302">INDEX(Data!TF2:TF1048576,MATCH(TRUE,Data!TF2:TF1048576&lt;&gt;"",0))</f>
        <v>#N/A</v>
      </c>
    </row>
    <row r="303" spans="3:5" x14ac:dyDescent="0.25">
      <c r="C303" s="24" t="s">
        <v>1033</v>
      </c>
      <c r="D303" s="45" t="e" cm="1">
        <f t="array" ref="D303">IF(INDEX(Data!SY2:SY1048576,MATCH(TRUE,Data!SY2:SY1048576&lt;&gt;"",0))=1,"Short-term (next 12 months)",
IF(INDEX(Data!SY2:SY1048576,MATCH(TRUE,Data!SY2:SY1048576&lt;&gt;"",0))=2,"Mid-term (next 12-24 months)",
IF(INDEX(Data!SY2:SY1048576,MATCH(TRUE,Data!SY2:SY1048576&lt;&gt;"",0))=3,"Long-term (24 months and beyond)","")))</f>
        <v>#N/A</v>
      </c>
      <c r="E303" s="47" t="e" cm="1">
        <f t="array" ref="E303">INDEX(Data!TG2:TG1048576,MATCH(TRUE,Data!TG2:TG1048576&lt;&gt;"",0))</f>
        <v>#N/A</v>
      </c>
    </row>
    <row r="304" spans="3:5" x14ac:dyDescent="0.25">
      <c r="C304" s="24" t="s">
        <v>1034</v>
      </c>
      <c r="D304" s="45" t="e" cm="1">
        <f t="array" ref="D304">IF(INDEX(Data!SZ2:SZ1048576,MATCH(TRUE,Data!SZ2:SZ1048576&lt;&gt;"",0))=1,"Short-term (next 12 months)",
IF(INDEX(Data!SZ2:SZ1048576,MATCH(TRUE,Data!SZ2:SZ1048576&lt;&gt;"",0))=2,"Mid-term (next 12-24 months)",
IF(INDEX(Data!SZ2:SZ1048576,MATCH(TRUE,Data!SZ2:SZ1048576&lt;&gt;"",0))=3,"Long-term (24 months and beyond)","")))</f>
        <v>#N/A</v>
      </c>
      <c r="E304" s="47" t="e" cm="1">
        <f t="array" ref="E304">INDEX(Data!TH2:TH1048576,MATCH(TRUE,Data!TH2:TH1048576&lt;&gt;"",0))</f>
        <v>#N/A</v>
      </c>
    </row>
    <row r="305" spans="3:5" x14ac:dyDescent="0.25">
      <c r="C305" s="24" t="s">
        <v>1035</v>
      </c>
      <c r="D305" s="45" t="e" cm="1">
        <f t="array" ref="D305">IF(INDEX(Data!TA2:TA1048576,MATCH(TRUE,Data!TA2:TA1048576&lt;&gt;"",0))=1,"Short-term (next 12 months)",
IF(INDEX(Data!TA2:TA1048576,MATCH(TRUE,Data!TA2:TA1048576&lt;&gt;"",0))=2,"Mid-term (next 12-24 months)",
IF(INDEX(Data!TA2:TA1048576,MATCH(TRUE,Data!TA2:TA1048576&lt;&gt;"",0))=3,"Long-term (24 months and beyond)","")))</f>
        <v>#N/A</v>
      </c>
      <c r="E305" s="47" t="e" cm="1">
        <f t="array" ref="E305">INDEX(Data!TI2:TI1048576,MATCH(TRUE,Data!TI2:TI1048576&lt;&gt;"",0))</f>
        <v>#N/A</v>
      </c>
    </row>
    <row r="306" spans="3:5" x14ac:dyDescent="0.25">
      <c r="C306" s="24" t="s">
        <v>903</v>
      </c>
      <c r="D306" s="45" t="e" cm="1">
        <f t="array" ref="D306">IF(INDEX(Data!TB2:TB1048576,MATCH(TRUE,Data!TB2:TB1048576&lt;&gt;"",0))=1,"Short-term (next 12 months)",
IF(INDEX(Data!TB2:TB1048576,MATCH(TRUE,Data!TB2:TB1048576&lt;&gt;"",0))=2,"Mid-term (next 12-24 months)",
IF(INDEX(Data!TB2:TB1048576,MATCH(TRUE,Data!TB2:TB1048576&lt;&gt;"",0))=3,"Long-term (24 months and beyond)","")))</f>
        <v>#N/A</v>
      </c>
      <c r="E306" s="47" t="e" cm="1">
        <f t="array" ref="E306">INDEX(Data!TJ2:TJ1048576,MATCH(TRUE,Data!TJ2:TJ1048576&lt;&gt;"",0))</f>
        <v>#N/A</v>
      </c>
    </row>
    <row r="307" spans="3:5" ht="30" x14ac:dyDescent="0.25">
      <c r="C307" s="24" t="s">
        <v>903</v>
      </c>
      <c r="D307" s="45" t="str" cm="1">
        <f t="array" ref="D307">IF(INDEX(Data!TC2:TC1048576,MATCH(TRUE,Data!TC2:TC1048576&lt;&gt;"",0))=1,"Short-term (next 12 months)",
IF(INDEX(Data!TC2:TC1048576,MATCH(TRUE,Data!TC2:TC1048576&lt;&gt;"",0))=2,"Mid-term (next 12-24 months)",
IF(INDEX(Data!TC2:TC1048576,MATCH(TRUE,Data!TC2:TC1048576&lt;&gt;"",0))=3,"Long-term (24 months and beyond)","")))</f>
        <v>Mid-term (next 12-24 months)</v>
      </c>
      <c r="E307" s="47" t="str" cm="1">
        <f t="array" ref="E307">INDEX(Data!TK2:TK1048576,MATCH(TRUE,Data!TK2:TK1048576&lt;&gt;"",0))</f>
        <v>OK</v>
      </c>
    </row>
    <row r="308" spans="3:5" ht="45" x14ac:dyDescent="0.25">
      <c r="C308" s="24" t="s">
        <v>903</v>
      </c>
      <c r="D308" s="45" t="str" cm="1">
        <f t="array" ref="D308">IF(INDEX(Data!TD2:TD1048576,MATCH(TRUE,Data!TD2:TD1048576&lt;&gt;"",0))=1,"Short-term (next 12 months)",
IF(INDEX(Data!TD2:TD1048576,MATCH(TRUE,Data!TD2:TD1048576&lt;&gt;"",0))=2,"Mid-term (next 12-24 months)",
IF(INDEX(Data!TD2:TD1048576,MATCH(TRUE,Data!TD2:TD1048576&lt;&gt;"",0))=3,"Long-term (24 months and beyond)","")))</f>
        <v>Long-term (24 months and beyond)</v>
      </c>
      <c r="E308" s="47" t="str" cm="1">
        <f t="array" ref="E308">INDEX(Data!TL2:TL1048576,MATCH(TRUE,Data!TL2:TL1048576&lt;&gt;"",0))</f>
        <v>range</v>
      </c>
    </row>
    <row r="313" spans="3:5" ht="15.6" thickBot="1" x14ac:dyDescent="0.3"/>
    <row r="314" spans="3:5" ht="18" thickBot="1" x14ac:dyDescent="0.3">
      <c r="C314" s="26" t="s">
        <v>1036</v>
      </c>
      <c r="D314" s="44" t="s">
        <v>894</v>
      </c>
      <c r="E314" s="44" t="s">
        <v>895</v>
      </c>
    </row>
    <row r="315" spans="3:5" ht="30" x14ac:dyDescent="0.25">
      <c r="C315" s="24" t="s">
        <v>1037</v>
      </c>
      <c r="D315" s="45" t="str" cm="1">
        <f t="array" ref="D315">IF(INDEX(Data!TP2:TP1048576,MATCH(TRUE,Data!TP2:TP1048576&lt;&gt;"",0))=1,"Short-term (next 12 months)",
IF(INDEX(Data!TP2:TP1048576,MATCH(TRUE,Data!TP2:TP1048576&lt;&gt;"",0))=2,"Mid-term (next 12-24 months)",
IF(INDEX(Data!TP2:TP1048576,MATCH(TRUE,Data!TP2:TP1048576&lt;&gt;"",0))=3,"Long-term (24 months and beyond)","")))</f>
        <v>Short-term (next 12 months)</v>
      </c>
      <c r="E315" s="47" t="str" cm="1">
        <f t="array" ref="E315">INDEX(Data!TW2:TW1048576,MATCH(TRUE,Data!TW2:TW1048576&lt;&gt;"",0))</f>
        <v>GOT</v>
      </c>
    </row>
    <row r="316" spans="3:5" ht="30" x14ac:dyDescent="0.25">
      <c r="C316" s="24" t="s">
        <v>1038</v>
      </c>
      <c r="D316" s="45" t="str" cm="1">
        <f t="array" ref="D316">IF(INDEX(Data!TQ2:TQ1048576,MATCH(TRUE,Data!TQ2:TQ1048576&lt;&gt;"",0))=1,"Short-term (next 12 months)",
IF(INDEX(Data!TQ2:TQ1048576,MATCH(TRUE,Data!TQ2:TQ1048576&lt;&gt;"",0))=2,"Mid-term (next 12-24 months)",
IF(INDEX(Data!TQ2:TQ1048576,MATCH(TRUE,Data!TQ2:TQ1048576&lt;&gt;"",0))=3,"Long-term (24 months and beyond)","")))</f>
        <v>Short-term (next 12 months)</v>
      </c>
      <c r="E316" s="47" t="str" cm="1">
        <f t="array" ref="E316">INDEX(Data!TX2:TX1048576,MATCH(TRUE,Data!TX2:TX1048576&lt;&gt;"",0))</f>
        <v>GOT</v>
      </c>
    </row>
    <row r="317" spans="3:5" x14ac:dyDescent="0.25">
      <c r="C317" s="24" t="s">
        <v>1039</v>
      </c>
      <c r="D317" s="45" t="e" cm="1">
        <f t="array" ref="D317">IF(INDEX(Data!TR2:TR1048576,MATCH(TRUE,Data!TR2:TR1048576&lt;&gt;"",0))=1,"Short-term (next 12 months)",
IF(INDEX(Data!TR2:TR1048576,MATCH(TRUE,Data!TR2:TR1048576&lt;&gt;"",0))=2,"Mid-term (next 12-24 months)",
IF(INDEX(Data!TR2:TR1048576,MATCH(TRUE,Data!TR2:TR1048576&lt;&gt;"",0))=3,"Long-term (24 months and beyond)","")))</f>
        <v>#N/A</v>
      </c>
      <c r="E317" s="47" t="e" cm="1">
        <f t="array" ref="E317">INDEX(Data!TY2:TY1048576,MATCH(TRUE,Data!TY2:TY1048576&lt;&gt;"",0))</f>
        <v>#N/A</v>
      </c>
    </row>
    <row r="318" spans="3:5" ht="30" x14ac:dyDescent="0.25">
      <c r="C318" s="24" t="s">
        <v>1040</v>
      </c>
      <c r="D318" s="45" t="e" cm="1">
        <f t="array" ref="D318">IF(INDEX(Data!TS2:TS1048576,MATCH(TRUE,Data!TS2:TS1048576&lt;&gt;"",0))=1,"Short-term (next 12 months)",
IF(INDEX(Data!TS2:TS1048576,MATCH(TRUE,Data!TS2:TS1048576&lt;&gt;"",0))=2,"Mid-term (next 12-24 months)",
IF(INDEX(Data!TS2:TS1048576,MATCH(TRUE,Data!TS2:TS1048576&lt;&gt;"",0))=3,"Long-term (24 months and beyond)","")))</f>
        <v>#N/A</v>
      </c>
      <c r="E318" s="47" t="e" cm="1">
        <f t="array" ref="E318">INDEX(Data!TZ2:TZ1048576,MATCH(TRUE,Data!TZ2:TZ1048576&lt;&gt;"",0))</f>
        <v>#N/A</v>
      </c>
    </row>
    <row r="319" spans="3:5" x14ac:dyDescent="0.25">
      <c r="C319" s="24" t="s">
        <v>903</v>
      </c>
      <c r="D319" s="45" t="e" cm="1">
        <f t="array" ref="D319">IF(INDEX(Data!TT2:TT1048576,MATCH(TRUE,Data!TT2:TT1048576&lt;&gt;"",0))=1,"Short-term (next 12 months)",
IF(INDEX(Data!TT2:TT1048576,MATCH(TRUE,Data!TT2:TT1048576&lt;&gt;"",0))=2,"Mid-term (next 12-24 months)",
IF(INDEX(Data!TT2:TT1048576,MATCH(TRUE,Data!TT2:TT1048576&lt;&gt;"",0))=3,"Long-term (24 months and beyond)","")))</f>
        <v>#N/A</v>
      </c>
      <c r="E319" s="47" t="str" cm="1">
        <f t="array" ref="E319">INDEX(Data!UA2:UA1048576,MATCH(TRUE,Data!UA2:UA1048576&lt;&gt;"",0))</f>
        <v>GNC</v>
      </c>
    </row>
    <row r="320" spans="3:5" x14ac:dyDescent="0.25">
      <c r="C320" s="24" t="s">
        <v>903</v>
      </c>
      <c r="D320" s="45" t="e" cm="1">
        <f t="array" ref="D320">IF(INDEX(Data!TU2:TU1048576,MATCH(TRUE,Data!TU2:TU1048576&lt;&gt;"",0))=1,"Short-term (next 12 months)",
IF(INDEX(Data!TU2:TU1048576,MATCH(TRUE,Data!TU2:TU1048576&lt;&gt;"",0))=2,"Mid-term (next 12-24 months)",
IF(INDEX(Data!TU2:TU1048576,MATCH(TRUE,Data!TU2:TU1048576&lt;&gt;"",0))=3,"Long-term (24 months and beyond)","")))</f>
        <v>#N/A</v>
      </c>
      <c r="E320" s="47" t="e" cm="1">
        <f t="array" ref="E320">INDEX(Data!UB2:UB1048576,MATCH(TRUE,Data!UB2:UB1048576&lt;&gt;"",0))</f>
        <v>#N/A</v>
      </c>
    </row>
    <row r="321" spans="3:5" ht="30" x14ac:dyDescent="0.25">
      <c r="C321" s="24" t="s">
        <v>903</v>
      </c>
      <c r="D321" s="45" t="str" cm="1">
        <f t="array" ref="D321">IF(INDEX(Data!TV2:TV1048576,MATCH(TRUE,Data!TV2:TV1048576&lt;&gt;"",0))=1,"Short-term (next 12 months)",
IF(INDEX(Data!TV2:TV1048576,MATCH(TRUE,Data!TV2:TV1048576&lt;&gt;"",0))=2,"Mid-term (next 12-24 months)",
IF(INDEX(Data!TV2:TV1048576,MATCH(TRUE,Data!TV2:TV1048576&lt;&gt;"",0))=3,"Long-term (24 months and beyond)","")))</f>
        <v>Mid-term (next 12-24 months)</v>
      </c>
      <c r="E321" s="47" t="e" cm="1">
        <f t="array" ref="E321">INDEX(Data!UC2:UC1048576,MATCH(TRUE,Data!UC2:UC1048576&lt;&gt;"",0))</f>
        <v>#N/A</v>
      </c>
    </row>
    <row r="326" spans="3:5" ht="15.6" thickBot="1" x14ac:dyDescent="0.3"/>
    <row r="327" spans="3:5" ht="35.4" thickBot="1" x14ac:dyDescent="0.3">
      <c r="C327" s="26" t="s">
        <v>1041</v>
      </c>
      <c r="D327" s="44" t="s">
        <v>894</v>
      </c>
      <c r="E327" s="44" t="s">
        <v>895</v>
      </c>
    </row>
    <row r="328" spans="3:5" ht="30" x14ac:dyDescent="0.25">
      <c r="C328" s="24" t="s">
        <v>1042</v>
      </c>
      <c r="D328" s="45" t="e" cm="1">
        <f t="array" ref="D328">IF(INDEX(Data!UG2:UG1048576,MATCH(TRUE,Data!UG2:UG1048576&lt;&gt;"",0))=1,"Short-term (next 12 months)",
IF(INDEX(Data!UG2:UG1048576,MATCH(TRUE,Data!UG2:UG1048576&lt;&gt;"",0))=2,"Mid-term (next 12-24 months)",
IF(INDEX(Data!UG2:UG1048576,MATCH(TRUE,Data!UG2:UG1048576&lt;&gt;"",0))=3,"Long-term (24 months and beyond)","")))</f>
        <v>#N/A</v>
      </c>
      <c r="E328" s="47" t="e" cm="1">
        <f t="array" ref="E328">INDEX(Data!UN2:UN1048576,MATCH(TRUE,Data!UN2:UN1048576&lt;&gt;"",0))</f>
        <v>#N/A</v>
      </c>
    </row>
    <row r="329" spans="3:5" ht="30" x14ac:dyDescent="0.25">
      <c r="C329" s="24" t="s">
        <v>1043</v>
      </c>
      <c r="D329" s="45" t="str" cm="1">
        <f t="array" ref="D329">IF(INDEX(Data!UH2:UH1048576,MATCH(TRUE,Data!UH2:UH1048576&lt;&gt;"",0))=1,"Short-term (next 12 months)",
IF(INDEX(Data!UH2:UH1048576,MATCH(TRUE,Data!UH2:UH1048576&lt;&gt;"",0))=2,"Mid-term (next 12-24 months)",
IF(INDEX(Data!UH2:UH1048576,MATCH(TRUE,Data!UH2:UH1048576&lt;&gt;"",0))=3,"Long-term (24 months and beyond)","")))</f>
        <v>Short-term (next 12 months)</v>
      </c>
      <c r="E329" s="47" t="str" cm="1">
        <f t="array" ref="E329">INDEX(Data!UO2:UO1048576,MATCH(TRUE,Data!UO2:UO1048576&lt;&gt;"",0))</f>
        <v>no plans</v>
      </c>
    </row>
    <row r="330" spans="3:5" ht="30" x14ac:dyDescent="0.25">
      <c r="C330" s="24" t="s">
        <v>1044</v>
      </c>
      <c r="D330" s="45" t="str" cm="1">
        <f t="array" ref="D330">IF(INDEX(Data!UI2:UI1048576,MATCH(TRUE,Data!UI2:UI1048576&lt;&gt;"",0))=1,"Short-term (next 12 months)",
IF(INDEX(Data!UI2:UI1048576,MATCH(TRUE,Data!UI2:UI1048576&lt;&gt;"",0))=2,"Mid-term (next 12-24 months)",
IF(INDEX(Data!UI2:UI1048576,MATCH(TRUE,Data!UI2:UI1048576&lt;&gt;"",0))=3,"Long-term (24 months and beyond)","")))</f>
        <v>Short-term (next 12 months)</v>
      </c>
      <c r="E330" s="47" t="e" cm="1">
        <f t="array" ref="E330">INDEX(Data!UP2:UP1048576,MATCH(TRUE,Data!UP2:UP1048576&lt;&gt;"",0))</f>
        <v>#N/A</v>
      </c>
    </row>
    <row r="331" spans="3:5" ht="30" x14ac:dyDescent="0.25">
      <c r="C331" s="24" t="s">
        <v>1021</v>
      </c>
      <c r="D331" s="45" t="str" cm="1">
        <f t="array" ref="D331">IF(INDEX(Data!UJ2:UJ1048576,MATCH(TRUE,Data!UJ2:UJ1048576&lt;&gt;"",0))=1,"Short-term (next 12 months)",
IF(INDEX(Data!UJ2:UJ1048576,MATCH(TRUE,Data!UJ2:UJ1048576&lt;&gt;"",0))=2,"Mid-term (next 12-24 months)",
IF(INDEX(Data!UJ2:UJ1048576,MATCH(TRUE,Data!UJ2:UJ1048576&lt;&gt;"",0))=3,"Long-term (24 months and beyond)","")))</f>
        <v>Short-term (next 12 months)</v>
      </c>
      <c r="E331" s="47" t="e" cm="1">
        <f t="array" ref="E331">INDEX(Data!UQ2:UQ1048576,MATCH(TRUE,Data!UQ2:UQ1048576&lt;&gt;"",0))</f>
        <v>#N/A</v>
      </c>
    </row>
    <row r="332" spans="3:5" x14ac:dyDescent="0.25">
      <c r="C332" s="24" t="s">
        <v>903</v>
      </c>
      <c r="D332" s="45" t="e" cm="1">
        <f t="array" ref="D332">IF(INDEX(Data!UK2:UK1048576,MATCH(TRUE,Data!UK2:UK1048576&lt;&gt;"",0))=1,"Short-term (next 12 months)",
IF(INDEX(Data!UK2:UK1048576,MATCH(TRUE,Data!UK2:UK1048576&lt;&gt;"",0))=2,"Mid-term (next 12-24 months)",
IF(INDEX(Data!UK2:UK1048576,MATCH(TRUE,Data!UK2:UK1048576&lt;&gt;"",0))=3,"Long-term (24 months and beyond)","")))</f>
        <v>#N/A</v>
      </c>
      <c r="E332" s="47" t="e" cm="1">
        <f t="array" ref="E332">INDEX(Data!UR2:UR1048576,MATCH(TRUE,Data!UR2:UR1048576&lt;&gt;"",0))</f>
        <v>#N/A</v>
      </c>
    </row>
    <row r="333" spans="3:5" ht="30" x14ac:dyDescent="0.25">
      <c r="C333" s="24" t="s">
        <v>903</v>
      </c>
      <c r="D333" s="45" t="str" cm="1">
        <f t="array" ref="D333">IF(INDEX(Data!UL2:UL1048576,MATCH(TRUE,Data!UL2:UL1048576&lt;&gt;"",0))=1,"Short-term (next 12 months)",
IF(INDEX(Data!UL2:UL1048576,MATCH(TRUE,Data!UL2:UL1048576&lt;&gt;"",0))=2,"Mid-term (next 12-24 months)",
IF(INDEX(Data!UL2:UL1048576,MATCH(TRUE,Data!UL2:UL1048576&lt;&gt;"",0))=3,"Long-term (24 months and beyond)","")))</f>
        <v>Short-term (next 12 months)</v>
      </c>
      <c r="E333" s="47" t="str" cm="1">
        <f t="array" ref="E333">INDEX(Data!US2:US1048576,MATCH(TRUE,Data!US2:US1048576&lt;&gt;"",0))</f>
        <v>SD</v>
      </c>
    </row>
    <row r="334" spans="3:5" x14ac:dyDescent="0.25">
      <c r="C334" s="24" t="s">
        <v>903</v>
      </c>
      <c r="D334" s="45" t="e" cm="1">
        <f t="array" ref="D334">IF(INDEX(Data!UM2:UM1048576,MATCH(TRUE,Data!UM2:UM1048576&lt;&gt;"",0))=1,"Short-term (next 12 months)",
IF(INDEX(Data!UM2:UM1048576,MATCH(TRUE,Data!UM2:UM1048576&lt;&gt;"",0))=2,"Mid-term (next 12-24 months)",
IF(INDEX(Data!UM2:UM1048576,MATCH(TRUE,Data!UM2:UM1048576&lt;&gt;"",0))=3,"Long-term (24 months and beyond)","")))</f>
        <v>#N/A</v>
      </c>
      <c r="E334" s="47" t="e" cm="1">
        <f t="array" ref="E334">INDEX(Data!UT2:UT1048576,MATCH(TRUE,Data!UT2:UT1048576&lt;&gt;"",0))</f>
        <v>#N/A</v>
      </c>
    </row>
    <row r="339" spans="3:5" ht="15.6" thickBot="1" x14ac:dyDescent="0.3"/>
    <row r="340" spans="3:5" ht="35.4" thickBot="1" x14ac:dyDescent="0.3">
      <c r="C340" s="26" t="s">
        <v>31</v>
      </c>
      <c r="D340" s="44" t="s">
        <v>894</v>
      </c>
      <c r="E340" s="44" t="s">
        <v>895</v>
      </c>
    </row>
    <row r="341" spans="3:5" ht="45" x14ac:dyDescent="0.25">
      <c r="C341" s="24" t="s">
        <v>1045</v>
      </c>
      <c r="D341" s="45" t="e" cm="1">
        <f t="array" ref="D341">IF(INDEX(Data!UX2:UX1048576,MATCH(TRUE,Data!UX2:UX1048576&lt;&gt;"",0))=1,"Short-term (next 12 months)",
IF(INDEX(Data!UX2:UX1048576,MATCH(TRUE,Data!UX2:UX1048576&lt;&gt;"",0))=2,"Mid-term (next 12-24 months)",
IF(INDEX(Data!UX2:UX1048576,MATCH(TRUE,Data!UX2:UX1048576&lt;&gt;"",0))=3,"Long-term (24 months and beyond)","")))</f>
        <v>#N/A</v>
      </c>
      <c r="E341" s="47" t="e" cm="1">
        <f t="array" ref="E341">INDEX(Data!VJ2:VJ1048576,MATCH(TRUE,Data!VJ2:VJ1048576&lt;&gt;"",0))</f>
        <v>#N/A</v>
      </c>
    </row>
    <row r="342" spans="3:5" ht="45" x14ac:dyDescent="0.25">
      <c r="C342" s="24" t="s">
        <v>1046</v>
      </c>
      <c r="D342" s="45" t="e" cm="1">
        <f t="array" ref="D342">IF(INDEX(Data!UY2:UY1048576,MATCH(TRUE,Data!UY2:UY1048576&lt;&gt;"",0))=1,"Short-term (next 12 months)",
IF(INDEX(Data!UY2:UY1048576,MATCH(TRUE,Data!UY2:UY1048576&lt;&gt;"",0))=2,"Mid-term (next 12-24 months)",
IF(INDEX(Data!UY2:UY1048576,MATCH(TRUE,Data!UY2:UY1048576&lt;&gt;"",0))=3,"Long-term (24 months and beyond)","")))</f>
        <v>#N/A</v>
      </c>
      <c r="E342" s="47" t="e" cm="1">
        <f t="array" ref="E342">INDEX(Data!VK2:VK1048576,MATCH(TRUE,Data!VK2:VK1048576&lt;&gt;"",0))</f>
        <v>#N/A</v>
      </c>
    </row>
    <row r="343" spans="3:5" ht="30" x14ac:dyDescent="0.25">
      <c r="C343" s="24" t="s">
        <v>1047</v>
      </c>
      <c r="D343" s="45" t="e" cm="1">
        <f t="array" ref="D343">IF(INDEX(Data!UZ2:UZ1048576,MATCH(TRUE,Data!UZ2:UZ1048576&lt;&gt;"",0))=1,"Short-term (next 12 months)",
IF(INDEX(Data!UZ2:UZ1048576,MATCH(TRUE,Data!UZ2:UZ1048576&lt;&gt;"",0))=2,"Mid-term (next 12-24 months)",
IF(INDEX(Data!UZ2:UZ1048576,MATCH(TRUE,Data!UZ2:UZ1048576&lt;&gt;"",0))=3,"Long-term (24 months and beyond)","")))</f>
        <v>#N/A</v>
      </c>
      <c r="E343" s="47" t="e" cm="1">
        <f t="array" ref="E343">INDEX(Data!VL2:VL1048576,MATCH(TRUE,Data!VL2:VL1048576&lt;&gt;"",0))</f>
        <v>#N/A</v>
      </c>
    </row>
    <row r="344" spans="3:5" x14ac:dyDescent="0.25">
      <c r="C344" s="24" t="s">
        <v>1048</v>
      </c>
      <c r="D344" s="45" t="e" cm="1">
        <f t="array" ref="D344">IF(INDEX(Data!VA2:VA1048576,MATCH(TRUE,Data!VA2:VA1048576&lt;&gt;"",0))=1,"Short-term (next 12 months)",
IF(INDEX(Data!VA2:VA1048576,MATCH(TRUE,Data!VA2:VA1048576&lt;&gt;"",0))=2,"Mid-term (next 12-24 months)",
IF(INDEX(Data!VA2:VA1048576,MATCH(TRUE,Data!VA2:VA1048576&lt;&gt;"",0))=3,"Long-term (24 months and beyond)","")))</f>
        <v>#N/A</v>
      </c>
      <c r="E344" s="47" t="e" cm="1">
        <f t="array" ref="E344">INDEX(Data!VM2:VM1048576,MATCH(TRUE,Data!VM2:VM1048576&lt;&gt;"",0))</f>
        <v>#N/A</v>
      </c>
    </row>
    <row r="345" spans="3:5" ht="30" x14ac:dyDescent="0.25">
      <c r="C345" s="24" t="s">
        <v>1049</v>
      </c>
      <c r="D345" s="45" t="str" cm="1">
        <f t="array" ref="D345">IF(INDEX(Data!VB2:VB1048576,MATCH(TRUE,Data!VB2:VB1048576&lt;&gt;"",0))=1,"Short-term (next 12 months)",
IF(INDEX(Data!VB2:VB1048576,MATCH(TRUE,Data!VB2:VB1048576&lt;&gt;"",0))=2,"Mid-term (next 12-24 months)",
IF(INDEX(Data!VB2:VB1048576,MATCH(TRUE,Data!VB2:VB1048576&lt;&gt;"",0))=3,"Long-term (24 months and beyond)","")))</f>
        <v>Short-term (next 12 months)</v>
      </c>
      <c r="E345" s="47" t="str" cm="1">
        <f t="array" ref="E345">INDEX(Data!VN2:VN1048576,MATCH(TRUE,Data!VN2:VN1048576&lt;&gt;"",0))</f>
        <v>fg</v>
      </c>
    </row>
    <row r="346" spans="3:5" ht="30" x14ac:dyDescent="0.25">
      <c r="C346" s="24" t="s">
        <v>1050</v>
      </c>
      <c r="D346" s="45" t="str" cm="1">
        <f t="array" ref="D346">IF(INDEX(Data!VC2:VC1048576,MATCH(TRUE,Data!VC2:VC1048576&lt;&gt;"",0))=1,"Short-term (next 12 months)",
IF(INDEX(Data!VC2:VC1048576,MATCH(TRUE,Data!VC2:VC1048576&lt;&gt;"",0))=2,"Mid-term (next 12-24 months)",
IF(INDEX(Data!VC2:VC1048576,MATCH(TRUE,Data!VC2:VC1048576&lt;&gt;"",0))=3,"Long-term (24 months and beyond)","")))</f>
        <v>Short-term (next 12 months)</v>
      </c>
      <c r="E346" s="47" t="str" cm="1">
        <f t="array" ref="E346">INDEX(Data!VO2:VO1048576,MATCH(TRUE,Data!VO2:VO1048576&lt;&gt;"",0))</f>
        <v>gf</v>
      </c>
    </row>
    <row r="347" spans="3:5" ht="30" x14ac:dyDescent="0.25">
      <c r="C347" s="24" t="s">
        <v>1051</v>
      </c>
      <c r="D347" s="45" t="e" cm="1">
        <f t="array" ref="D347">IF(INDEX(Data!VD2:VD1048576,MATCH(TRUE,Data!VD2:VD1048576&lt;&gt;"",0))=1,"Short-term (next 12 months)",
IF(INDEX(Data!VD2:VD1048576,MATCH(TRUE,Data!VD2:VD1048576&lt;&gt;"",0))=2,"Mid-term (next 12-24 months)",
IF(INDEX(Data!VD2:VD1048576,MATCH(TRUE,Data!VD2:VD1048576&lt;&gt;"",0))=3,"Long-term (24 months and beyond)","")))</f>
        <v>#N/A</v>
      </c>
      <c r="E347" s="47" t="e" cm="1">
        <f t="array" ref="E347">INDEX(Data!VP2:VP1048576,MATCH(TRUE,Data!VP2:VP1048576&lt;&gt;"",0))</f>
        <v>#N/A</v>
      </c>
    </row>
    <row r="348" spans="3:5" x14ac:dyDescent="0.25">
      <c r="C348" s="24" t="s">
        <v>1052</v>
      </c>
      <c r="D348" s="45" t="e" cm="1">
        <f t="array" ref="D348">IF(INDEX(Data!VE2:VE1048576,MATCH(TRUE,Data!VE2:VE1048576&lt;&gt;"",0))=1,"Short-term (next 12 months)",
IF(INDEX(Data!VE2:VE1048576,MATCH(TRUE,Data!VE2:VE1048576&lt;&gt;"",0))=2,"Mid-term (next 12-24 months)",
IF(INDEX(Data!VE2:VE1048576,MATCH(TRUE,Data!VE2:VE1048576&lt;&gt;"",0))=3,"Long-term (24 months and beyond)","")))</f>
        <v>#N/A</v>
      </c>
      <c r="E348" s="47" t="e" cm="1">
        <f t="array" ref="E348">INDEX(Data!VQ2:VQ1048576,MATCH(TRUE,Data!VQ2:VQ1048576&lt;&gt;"",0))</f>
        <v>#N/A</v>
      </c>
    </row>
    <row r="349" spans="3:5" x14ac:dyDescent="0.25">
      <c r="C349" s="24" t="s">
        <v>1053</v>
      </c>
      <c r="D349" s="45" t="e" cm="1">
        <f t="array" ref="D349">IF(INDEX(Data!VF2:VF1048576,MATCH(TRUE,Data!VF2:VF1048576&lt;&gt;"",0))=1,"Short-term (next 12 months)",
IF(INDEX(Data!VF2:VF1048576,MATCH(TRUE,Data!VF2:VF1048576&lt;&gt;"",0))=2,"Mid-term (next 12-24 months)",
IF(INDEX(Data!VF2:VF1048576,MATCH(TRUE,Data!VF2:VF1048576&lt;&gt;"",0))=3,"Long-term (24 months and beyond)","")))</f>
        <v>#N/A</v>
      </c>
      <c r="E349" s="47" t="e" cm="1">
        <f t="array" ref="E349">INDEX(Data!VR2:VR1048576,MATCH(TRUE,Data!VR2:VR1048576&lt;&gt;"",0))</f>
        <v>#N/A</v>
      </c>
    </row>
    <row r="350" spans="3:5" x14ac:dyDescent="0.25">
      <c r="C350" s="24" t="s">
        <v>903</v>
      </c>
      <c r="D350" s="45" t="e" cm="1">
        <f t="array" ref="D350">IF(INDEX(Data!VG2:VG1048576,MATCH(TRUE,Data!VG2:VG1048576&lt;&gt;"",0))=1,"Short-term (next 12 months)",
IF(INDEX(Data!VG2:VG1048576,MATCH(TRUE,Data!VG2:VG1048576&lt;&gt;"",0))=2,"Mid-term (next 12-24 months)",
IF(INDEX(Data!VG2:VG1048576,MATCH(TRUE,Data!VG2:VG1048576&lt;&gt;"",0))=3,"Long-term (24 months and beyond)","")))</f>
        <v>#N/A</v>
      </c>
      <c r="E350" s="47" t="e" cm="1">
        <f t="array" ref="E350">INDEX(Data!VS2:VS1048576,MATCH(TRUE,Data!VS2:VS1048576&lt;&gt;"",0))</f>
        <v>#N/A</v>
      </c>
    </row>
    <row r="351" spans="3:5" x14ac:dyDescent="0.25">
      <c r="C351" s="24" t="s">
        <v>903</v>
      </c>
      <c r="D351" s="45" t="e" cm="1">
        <f t="array" ref="D351">IF(INDEX(Data!VH2:VH1048576,MATCH(TRUE,Data!VH2:VH1048576&lt;&gt;"",0))=1,"Short-term (next 12 months)",
IF(INDEX(Data!VH2:VH1048576,MATCH(TRUE,Data!VH2:VH1048576&lt;&gt;"",0))=2,"Mid-term (next 12-24 months)",
IF(INDEX(Data!VH2:VH1048576,MATCH(TRUE,Data!VH2:VH1048576&lt;&gt;"",0))=3,"Long-term (24 months and beyond)","")))</f>
        <v>#N/A</v>
      </c>
      <c r="E351" s="47" t="e" cm="1">
        <f t="array" ref="E351">INDEX(Data!VT2:VT1048576,MATCH(TRUE,Data!VT2:VT1048576&lt;&gt;"",0))</f>
        <v>#N/A</v>
      </c>
    </row>
    <row r="352" spans="3:5" ht="30" x14ac:dyDescent="0.25">
      <c r="C352" s="24" t="s">
        <v>903</v>
      </c>
      <c r="D352" s="45" t="str" cm="1">
        <f t="array" ref="D352">IF(INDEX(Data!VI2:VI1048576,MATCH(TRUE,Data!VI2:VI1048576&lt;&gt;"",0))=1,"Short-term (next 12 months)",
IF(INDEX(Data!VI2:VI1048576,MATCH(TRUE,Data!VI2:VI1048576&lt;&gt;"",0))=2,"Mid-term (next 12-24 months)",
IF(INDEX(Data!VI2:VI1048576,MATCH(TRUE,Data!VI2:VI1048576&lt;&gt;"",0))=3,"Long-term (24 months and beyond)","")))</f>
        <v>Mid-term (next 12-24 months)</v>
      </c>
      <c r="E352" s="47" t="e" cm="1">
        <f t="array" ref="E352">INDEX(Data!VU2:VU1048576,MATCH(TRUE,Data!VU2:VU1048576&lt;&gt;"",0))</f>
        <v>#N/A</v>
      </c>
    </row>
    <row r="357" spans="3:5" ht="15.6" thickBot="1" x14ac:dyDescent="0.3"/>
    <row r="358" spans="3:5" ht="18" thickBot="1" x14ac:dyDescent="0.3">
      <c r="C358" s="26" t="s">
        <v>1054</v>
      </c>
      <c r="D358" s="44" t="s">
        <v>894</v>
      </c>
      <c r="E358" s="44" t="s">
        <v>895</v>
      </c>
    </row>
    <row r="359" spans="3:5" ht="45" x14ac:dyDescent="0.25">
      <c r="C359" s="24" t="s">
        <v>1055</v>
      </c>
      <c r="D359" s="45" t="e" cm="1">
        <f t="array" ref="D359">IF(INDEX(Data!VY2:VY1048576,MATCH(TRUE,Data!VY2:VY1048576&lt;&gt;"",0))=1,"Short-term (next 12 months)",
IF(INDEX(Data!VY2:VY1048576,MATCH(TRUE,Data!VY2:VY1048576&lt;&gt;"",0))=2,"Mid-term (next 12-24 months)",
IF(INDEX(Data!VY2:VY1048576,MATCH(TRUE,Data!VY2:VY1048576&lt;&gt;"",0))=3,"Long-term (24 months and beyond)","")))</f>
        <v>#N/A</v>
      </c>
      <c r="E359" s="47" t="e" cm="1">
        <f t="array" ref="E359">INDEX(Data!WF2:WF1048576,MATCH(TRUE,Data!WF2:WF1048576&lt;&gt;"",0))</f>
        <v>#N/A</v>
      </c>
    </row>
    <row r="360" spans="3:5" ht="30" x14ac:dyDescent="0.25">
      <c r="C360" s="24" t="s">
        <v>1056</v>
      </c>
      <c r="D360" s="45" t="e" cm="1">
        <f t="array" ref="D360">IF(INDEX(Data!VZ2:VZ1048576,MATCH(TRUE,Data!VZ2:VZ1048576&lt;&gt;"",0))=1,"Short-term (next 12 months)",
IF(INDEX(Data!VZ2:VZ1048576,MATCH(TRUE,Data!VZ2:VZ1048576&lt;&gt;"",0))=2,"Mid-term (next 12-24 months)",
IF(INDEX(Data!VZ2:VZ1048576,MATCH(TRUE,Data!VZ2:VZ1048576&lt;&gt;"",0))=3,"Long-term (24 months and beyond)","")))</f>
        <v>#N/A</v>
      </c>
      <c r="E360" s="47" t="e" cm="1">
        <f t="array" ref="E360">INDEX(Data!WG2:WG1048576,MATCH(TRUE,Data!WG2:WG1048576&lt;&gt;"",0))</f>
        <v>#N/A</v>
      </c>
    </row>
    <row r="361" spans="3:5" x14ac:dyDescent="0.25">
      <c r="C361" s="24" t="s">
        <v>1057</v>
      </c>
      <c r="D361" s="45" t="e" cm="1">
        <f t="array" ref="D361">IF(INDEX(Data!WA2:WA1048576,MATCH(TRUE,Data!WA2:WA1048576&lt;&gt;"",0))=1,"Short-term (next 12 months)",
IF(INDEX(Data!WA2:WA1048576,MATCH(TRUE,Data!WA2:WA1048576&lt;&gt;"",0))=2,"Mid-term (next 12-24 months)",
IF(INDEX(Data!WA2:WA1048576,MATCH(TRUE,Data!WA2:WA1048576&lt;&gt;"",0))=3,"Long-term (24 months and beyond)","")))</f>
        <v>#N/A</v>
      </c>
      <c r="E361" s="47" t="e" cm="1">
        <f t="array" ref="E361">INDEX(Data!WH2:WH1048576,MATCH(TRUE,Data!WH2:WH1048576&lt;&gt;"",0))</f>
        <v>#N/A</v>
      </c>
    </row>
    <row r="362" spans="3:5" ht="30" x14ac:dyDescent="0.25">
      <c r="C362" s="24" t="s">
        <v>1058</v>
      </c>
      <c r="D362" s="45" t="str" cm="1">
        <f t="array" ref="D362">IF(INDEX(Data!WB2:WB1048576,MATCH(TRUE,Data!WB2:WB1048576&lt;&gt;"",0))=1,"Short-term (next 12 months)",
IF(INDEX(Data!WB2:WB1048576,MATCH(TRUE,Data!WB2:WB1048576&lt;&gt;"",0))=2,"Mid-term (next 12-24 months)",
IF(INDEX(Data!WB2:WB1048576,MATCH(TRUE,Data!WB2:WB1048576&lt;&gt;"",0))=3,"Long-term (24 months and beyond)","")))</f>
        <v>Short-term (next 12 months)</v>
      </c>
      <c r="E362" s="47" t="str" cm="1">
        <f t="array" ref="E362">INDEX(Data!WI2:WI1048576,MATCH(TRUE,Data!WI2:WI1048576&lt;&gt;"",0))</f>
        <v>go</v>
      </c>
    </row>
    <row r="363" spans="3:5" ht="30" x14ac:dyDescent="0.25">
      <c r="C363" s="24" t="s">
        <v>903</v>
      </c>
      <c r="D363" s="45" t="str" cm="1">
        <f t="array" ref="D363">IF(INDEX(Data!WC2:WC1048576,MATCH(TRUE,Data!WC2:WC1048576&lt;&gt;"",0))=1,"Short-term (next 12 months)",
IF(INDEX(Data!WC2:WC1048576,MATCH(TRUE,Data!WC2:WC1048576&lt;&gt;"",0))=2,"Mid-term (next 12-24 months)",
IF(INDEX(Data!WC2:WC1048576,MATCH(TRUE,Data!WC2:WC1048576&lt;&gt;"",0))=3,"Long-term (24 months and beyond)","")))</f>
        <v>Short-term (next 12 months)</v>
      </c>
      <c r="E363" s="47" t="str" cm="1">
        <f t="array" ref="E363">INDEX(Data!WJ2:WJ1048576,MATCH(TRUE,Data!WJ2:WJ1048576&lt;&gt;"",0))</f>
        <v>yu</v>
      </c>
    </row>
    <row r="364" spans="3:5" x14ac:dyDescent="0.25">
      <c r="C364" s="24" t="s">
        <v>903</v>
      </c>
      <c r="D364" s="45" t="e" cm="1">
        <f t="array" ref="D364">IF(INDEX(Data!WD2:WD1048576,MATCH(TRUE,Data!WD2:WD1048576&lt;&gt;"",0))=1,"Short-term (next 12 months)",
IF(INDEX(Data!WD2:WD1048576,MATCH(TRUE,Data!WD2:WD1048576&lt;&gt;"",0))=2,"Mid-term (next 12-24 months)",
IF(INDEX(Data!WD2:WD1048576,MATCH(TRUE,Data!WD2:WD1048576&lt;&gt;"",0))=3,"Long-term (24 months and beyond)","")))</f>
        <v>#N/A</v>
      </c>
      <c r="E364" s="47" t="e" cm="1">
        <f t="array" ref="E364">INDEX(Data!WK2:WK1048576,MATCH(TRUE,Data!WK2:WK1048576&lt;&gt;"",0))</f>
        <v>#N/A</v>
      </c>
    </row>
    <row r="365" spans="3:5" ht="30" x14ac:dyDescent="0.25">
      <c r="C365" s="24" t="s">
        <v>903</v>
      </c>
      <c r="D365" s="45" t="str" cm="1">
        <f t="array" ref="D365">IF(INDEX(Data!WE2:WE1048576,MATCH(TRUE,Data!WE2:WE1048576&lt;&gt;"",0))=1,"Short-term (next 12 months)",
IF(INDEX(Data!WE2:WE1048576,MATCH(TRUE,Data!WE2:WE1048576&lt;&gt;"",0))=2,"Mid-term (next 12-24 months)",
IF(INDEX(Data!WE2:WE1048576,MATCH(TRUE,Data!WE2:WE1048576&lt;&gt;"",0))=3,"Long-term (24 months and beyond)","")))</f>
        <v>Mid-term (next 12-24 months)</v>
      </c>
      <c r="E365" s="47" t="e" cm="1">
        <f t="array" ref="E365">INDEX(Data!WL2:WL1048576,MATCH(TRUE,Data!WL2:WL1048576&lt;&gt;"",0))</f>
        <v>#N/A</v>
      </c>
    </row>
    <row r="370" spans="3:5" ht="15.6" thickBot="1" x14ac:dyDescent="0.3"/>
    <row r="371" spans="3:5" ht="18" thickBot="1" x14ac:dyDescent="0.3">
      <c r="C371" s="26" t="s">
        <v>1059</v>
      </c>
      <c r="D371" s="44" t="s">
        <v>894</v>
      </c>
      <c r="E371" s="44" t="s">
        <v>895</v>
      </c>
    </row>
    <row r="372" spans="3:5" ht="30" x14ac:dyDescent="0.25">
      <c r="C372" s="24" t="s">
        <v>1060</v>
      </c>
      <c r="D372" s="45" t="e" cm="1">
        <f t="array" ref="D372">IF(INDEX(Data!WP2:WP1048576,MATCH(TRUE,Data!WP2:WP1048576&lt;&gt;"",0))=1,"Short-term (next 12 months)",
IF(INDEX(Data!WP2:WP1048576,MATCH(TRUE,Data!WP2:WP1048576&lt;&gt;"",0))=2,"Mid-term (next 12-24 months)",
IF(INDEX(Data!WP2:WP1048576,MATCH(TRUE,Data!WP2:WP1048576&lt;&gt;"",0))=3,"Long-term (24 months and beyond)","")))</f>
        <v>#N/A</v>
      </c>
      <c r="E372" s="47" t="e" cm="1">
        <f t="array" ref="E372">INDEX(Data!WZ2:WZ1048576,MATCH(TRUE,Data!WZ2:WZ1048576&lt;&gt;"",0))</f>
        <v>#N/A</v>
      </c>
    </row>
    <row r="373" spans="3:5" x14ac:dyDescent="0.25">
      <c r="C373" s="24" t="s">
        <v>1061</v>
      </c>
      <c r="D373" s="45" t="e" cm="1">
        <f t="array" ref="D373">IF(INDEX(Data!WQ2:WQ1048576,MATCH(TRUE,Data!WQ2:WQ1048576&lt;&gt;"",0))=1,"Short-term (next 12 months)",
IF(INDEX(Data!WQ2:WQ1048576,MATCH(TRUE,Data!WQ2:WQ1048576&lt;&gt;"",0))=2,"Mid-term (next 12-24 months)",
IF(INDEX(Data!WQ2:WQ1048576,MATCH(TRUE,Data!WQ2:WQ1048576&lt;&gt;"",0))=3,"Long-term (24 months and beyond)","")))</f>
        <v>#N/A</v>
      </c>
      <c r="E373" s="47" t="e" cm="1">
        <f t="array" ref="E373">INDEX(Data!XA2:XA1048576,MATCH(TRUE,Data!XA2:XA1048576&lt;&gt;"",0))</f>
        <v>#N/A</v>
      </c>
    </row>
    <row r="374" spans="3:5" ht="30" x14ac:dyDescent="0.25">
      <c r="C374" s="24" t="s">
        <v>1062</v>
      </c>
      <c r="D374" s="45" t="str" cm="1">
        <f t="array" ref="D374">IF(INDEX(Data!WR2:WR1048576,MATCH(TRUE,Data!WR2:WR1048576&lt;&gt;"",0))=1,"Short-term (next 12 months)",
IF(INDEX(Data!WR2:WR1048576,MATCH(TRUE,Data!WR2:WR1048576&lt;&gt;"",0))=2,"Mid-term (next 12-24 months)",
IF(INDEX(Data!WR2:WR1048576,MATCH(TRUE,Data!WR2:WR1048576&lt;&gt;"",0))=3,"Long-term (24 months and beyond)","")))</f>
        <v>Short-term (next 12 months)</v>
      </c>
      <c r="E374" s="47" t="str" cm="1">
        <f t="array" ref="E374">INDEX(Data!XB2:XB1048576,MATCH(TRUE,Data!XB2:XB1048576&lt;&gt;"",0))</f>
        <v>gfg</v>
      </c>
    </row>
    <row r="375" spans="3:5" x14ac:dyDescent="0.25">
      <c r="C375" s="24" t="s">
        <v>1063</v>
      </c>
      <c r="D375" s="45" t="e" cm="1">
        <f t="array" ref="D375">IF(INDEX(Data!WS2:WS1048576,MATCH(TRUE,Data!WS2:WS1048576&lt;&gt;"",0))=1,"Short-term (next 12 months)",
IF(INDEX(Data!WS2:WS1048576,MATCH(TRUE,Data!WS2:WS1048576&lt;&gt;"",0))=2,"Mid-term (next 12-24 months)",
IF(INDEX(Data!WS2:WS1048576,MATCH(TRUE,Data!WS2:WS1048576&lt;&gt;"",0))=3,"Long-term (24 months and beyond)","")))</f>
        <v>#N/A</v>
      </c>
      <c r="E375" s="47" t="e" cm="1">
        <f t="array" ref="E375">INDEX(Data!XC2:XC1048576,MATCH(TRUE,Data!XC2:XC1048576&lt;&gt;"",0))</f>
        <v>#N/A</v>
      </c>
    </row>
    <row r="376" spans="3:5" ht="30" x14ac:dyDescent="0.25">
      <c r="C376" s="24" t="s">
        <v>1064</v>
      </c>
      <c r="D376" s="45" t="e" cm="1">
        <f t="array" ref="D376">IF(INDEX(Data!WT2:WT1048576,MATCH(TRUE,Data!WT2:WT1048576&lt;&gt;"",0))=1,"Short-term (next 12 months)",
IF(INDEX(Data!WT2:WT1048576,MATCH(TRUE,Data!WT2:WT1048576&lt;&gt;"",0))=2,"Mid-term (next 12-24 months)",
IF(INDEX(Data!WT2:WT1048576,MATCH(TRUE,Data!WT2:WT1048576&lt;&gt;"",0))=3,"Long-term (24 months and beyond)","")))</f>
        <v>#N/A</v>
      </c>
      <c r="E376" s="47" t="e" cm="1">
        <f t="array" ref="E376">INDEX(Data!XD2:XD1048576,MATCH(TRUE,Data!XD2:XD1048576&lt;&gt;"",0))</f>
        <v>#N/A</v>
      </c>
    </row>
    <row r="377" spans="3:5" ht="30" x14ac:dyDescent="0.25">
      <c r="C377" s="24" t="s">
        <v>1065</v>
      </c>
      <c r="D377" s="45" t="str" cm="1">
        <f t="array" ref="D377">IF(INDEX(Data!WU2:WU1048576,MATCH(TRUE,Data!WU2:WU1048576&lt;&gt;"",0))=1,"Short-term (next 12 months)",
IF(INDEX(Data!WU2:WU1048576,MATCH(TRUE,Data!WU2:WU1048576&lt;&gt;"",0))=2,"Mid-term (next 12-24 months)",
IF(INDEX(Data!WU2:WU1048576,MATCH(TRUE,Data!WU2:WU1048576&lt;&gt;"",0))=3,"Long-term (24 months and beyond)","")))</f>
        <v>Short-term (next 12 months)</v>
      </c>
      <c r="E377" s="47" t="e" cm="1">
        <f t="array" ref="E377">INDEX(Data!XE2:XE1048576,MATCH(TRUE,Data!XE2:XE1048576&lt;&gt;"",0))</f>
        <v>#N/A</v>
      </c>
    </row>
    <row r="378" spans="3:5" ht="30" x14ac:dyDescent="0.25">
      <c r="C378" s="24" t="s">
        <v>1066</v>
      </c>
      <c r="D378" s="45" t="e" cm="1">
        <f t="array" ref="D378">IF(INDEX(Data!WV2:WV1048576,MATCH(TRUE,Data!WV2:WV1048576&lt;&gt;"",0))=1,"Short-term (next 12 months)",
IF(INDEX(Data!WV2:WV1048576,MATCH(TRUE,Data!WV2:WV1048576&lt;&gt;"",0))=2,"Mid-term (next 12-24 months)",
IF(INDEX(Data!WV2:WV1048576,MATCH(TRUE,Data!WV2:WV1048576&lt;&gt;"",0))=3,"Long-term (24 months and beyond)","")))</f>
        <v>#N/A</v>
      </c>
      <c r="E378" s="47" t="e" cm="1">
        <f t="array" ref="E378">INDEX(Data!XF2:XF1048576,MATCH(TRUE,Data!XF2:XF1048576&lt;&gt;"",0))</f>
        <v>#N/A</v>
      </c>
    </row>
    <row r="379" spans="3:5" ht="30" x14ac:dyDescent="0.25">
      <c r="C379" s="24" t="s">
        <v>903</v>
      </c>
      <c r="D379" s="45" t="str" cm="1">
        <f t="array" ref="D379">IF(INDEX(Data!WW2:WW1048576,MATCH(TRUE,Data!WW2:WW1048576&lt;&gt;"",0))=1,"Short-term (next 12 months)",
IF(INDEX(Data!WW2:WW1048576,MATCH(TRUE,Data!WW2:WW1048576&lt;&gt;"",0))=2,"Mid-term (next 12-24 months)",
IF(INDEX(Data!WW2:WW1048576,MATCH(TRUE,Data!WW2:WW1048576&lt;&gt;"",0))=3,"Long-term (24 months and beyond)","")))</f>
        <v>Short-term (next 12 months)</v>
      </c>
      <c r="E379" s="47" t="str" cm="1">
        <f t="array" ref="E379">INDEX(Data!XG2:XG1048576,MATCH(TRUE,Data!XG2:XG1048576&lt;&gt;"",0))</f>
        <v>gf</v>
      </c>
    </row>
    <row r="380" spans="3:5" x14ac:dyDescent="0.25">
      <c r="C380" s="24" t="s">
        <v>903</v>
      </c>
      <c r="D380" s="45" t="e" cm="1">
        <f t="array" ref="D380">IF(INDEX(Data!WX2:WX1048576,MATCH(TRUE,Data!WX2:WX1048576&lt;&gt;"",0))=1,"Short-term (next 12 months)",
IF(INDEX(Data!WX2:WX1048576,MATCH(TRUE,Data!WX2:WX1048576&lt;&gt;"",0))=2,"Mid-term (next 12-24 months)",
IF(INDEX(Data!WX2:WX1048576,MATCH(TRUE,Data!WX2:WX1048576&lt;&gt;"",0))=3,"Long-term (24 months and beyond)","")))</f>
        <v>#N/A</v>
      </c>
      <c r="E380" s="47" t="e" cm="1">
        <f t="array" ref="E380">INDEX(Data!XH2:XH1048576,MATCH(TRUE,Data!XH2:XH1048576&lt;&gt;"",0))</f>
        <v>#N/A</v>
      </c>
    </row>
    <row r="381" spans="3:5" x14ac:dyDescent="0.25">
      <c r="C381" s="24" t="s">
        <v>903</v>
      </c>
      <c r="D381" s="45" t="e" cm="1">
        <f t="array" ref="D381">IF(INDEX(Data!WY2:WY1048576,MATCH(TRUE,Data!WY2:WY1048576&lt;&gt;"",0))=1,"Short-term (next 12 months)",
IF(INDEX(Data!WY2:WY1048576,MATCH(TRUE,Data!WY2:WY1048576&lt;&gt;"",0))=2,"Mid-term (next 12-24 months)",
IF(INDEX(Data!WY2:WY1048576,MATCH(TRUE,Data!WY2:WY1048576&lt;&gt;"",0))=3,"Long-term (24 months and beyond)","")))</f>
        <v>#N/A</v>
      </c>
      <c r="E381" s="47" t="str" cm="1">
        <f t="array" ref="E381">INDEX(Data!XI2:XI1048576,MATCH(TRUE,Data!XI2:XI1048576&lt;&gt;"",0))</f>
        <v>Test</v>
      </c>
    </row>
    <row r="386" spans="3:5" ht="15.6" thickBot="1" x14ac:dyDescent="0.3"/>
    <row r="387" spans="3:5" ht="18" thickBot="1" x14ac:dyDescent="0.3">
      <c r="C387" s="26" t="s">
        <v>1067</v>
      </c>
      <c r="D387" s="44" t="s">
        <v>894</v>
      </c>
      <c r="E387" s="44" t="s">
        <v>895</v>
      </c>
    </row>
    <row r="388" spans="3:5" ht="45" x14ac:dyDescent="0.25">
      <c r="C388" s="24" t="s">
        <v>1068</v>
      </c>
      <c r="D388" s="42" t="str" cm="1">
        <f t="array" ref="D388">IF(INDEX(Data!XM2:XM1048576,MATCH(TRUE,Data!XM2:XM1048576&lt;&gt;"",0))=1,"Short-term (next 12 months)",
IF(INDEX(Data!XM2:XM1048576,MATCH(TRUE,Data!XM2:XM1048576&lt;&gt;"",0))=2,"Mid-term (next 12-24 months)",
IF(INDEX(Data!XM2:XM1048576,MATCH(TRUE,Data!XM2:XM1048576&lt;&gt;"",0))=3,"Long-term (24 months and beyond)","")))</f>
        <v>Short-term (next 12 months)</v>
      </c>
      <c r="E388" s="47" t="e" cm="1">
        <f t="array" ref="E388">INDEX(Data!XU2:XU1048576,MATCH(TRUE,Data!XU2:XU1048576&lt;&gt;"",0))</f>
        <v>#N/A</v>
      </c>
    </row>
    <row r="389" spans="3:5" ht="30" x14ac:dyDescent="0.25">
      <c r="C389" s="24" t="s">
        <v>1069</v>
      </c>
      <c r="D389" s="45" t="str" cm="1">
        <f t="array" ref="D389">IF(INDEX(Data!XN2:XN1048576,MATCH(TRUE,Data!XN2:XN1048576&lt;&gt;"",0))=1,"Short-term (next 12 months)",
IF(INDEX(Data!XN2:XN1048576,MATCH(TRUE,Data!XN2:XN1048576&lt;&gt;"",0))=2,"Mid-term (next 12-24 months)",
IF(INDEX(Data!XN2:XN1048576,MATCH(TRUE,Data!XN2:XN1048576&lt;&gt;"",0))=3,"Long-term (24 months and beyond)","")))</f>
        <v>Short-term (next 12 months)</v>
      </c>
      <c r="E389" s="47" t="e" cm="1">
        <f t="array" ref="E389">INDEX(Data!XV2:XV1048576,MATCH(TRUE,Data!XV2:XV1048576&lt;&gt;"",0))</f>
        <v>#N/A</v>
      </c>
    </row>
    <row r="390" spans="3:5" ht="30" x14ac:dyDescent="0.25">
      <c r="C390" s="24" t="s">
        <v>1070</v>
      </c>
      <c r="D390" s="45" t="str" cm="1">
        <f t="array" ref="D390">IF(INDEX(Data!XO2:XO1048576,MATCH(TRUE,Data!XO2:XO1048576&lt;&gt;"",0))=1,"Short-term (next 12 months)",
IF(INDEX(Data!XO2:XO1048576,MATCH(TRUE,Data!XO2:XO1048576&lt;&gt;"",0))=2,"Mid-term (next 12-24 months)",
IF(INDEX(Data!XO2:XO1048576,MATCH(TRUE,Data!XO2:XO1048576&lt;&gt;"",0))=3,"Long-term (24 months and beyond)","")))</f>
        <v>Short-term (next 12 months)</v>
      </c>
      <c r="E390" s="47" t="str" cm="1">
        <f t="array" ref="E390">INDEX(Data!XW2:XW1048576,MATCH(TRUE,Data!XW2:XW1048576&lt;&gt;"",0))</f>
        <v>df</v>
      </c>
    </row>
    <row r="391" spans="3:5" ht="30" x14ac:dyDescent="0.25">
      <c r="C391" s="24" t="s">
        <v>1071</v>
      </c>
      <c r="D391" s="45" t="str" cm="1">
        <f t="array" ref="D391">IF(INDEX(Data!XP2:XP1048576,MATCH(TRUE,Data!XP2:XP1048576&lt;&gt;"",0))=1,"Short-term (next 12 months)",
IF(INDEX(Data!XP2:XP1048576,MATCH(TRUE,Data!XP2:XP1048576&lt;&gt;"",0))=2,"Mid-term (next 12-24 months)",
IF(INDEX(Data!XP2:XP1048576,MATCH(TRUE,Data!XP2:XP1048576&lt;&gt;"",0))=3,"Long-term (24 months and beyond)","")))</f>
        <v>Short-term (next 12 months)</v>
      </c>
      <c r="E391" s="47" t="str" cm="1">
        <f t="array" ref="E391">INDEX(Data!XX2:XX1048576,MATCH(TRUE,Data!XX2:XX1048576&lt;&gt;"",0))</f>
        <v>fsdaf</v>
      </c>
    </row>
    <row r="392" spans="3:5" ht="30" x14ac:dyDescent="0.25">
      <c r="C392" s="24" t="s">
        <v>1072</v>
      </c>
      <c r="D392" s="45" t="e" cm="1">
        <f t="array" ref="D392">IF(INDEX(Data!XQ2:XQ1048576,MATCH(TRUE,Data!XQ2:XQ1048576&lt;&gt;"",0))=1,"Short-term (next 12 months)",
IF(INDEX(Data!XQ2:XQ1048576,MATCH(TRUE,Data!XQ2:XQ1048576&lt;&gt;"",0))=2,"Mid-term (next 12-24 months)",
IF(INDEX(Data!XQ2:XQ1048576,MATCH(TRUE,Data!XQ2:XQ1048576&lt;&gt;"",0))=3,"Long-term (24 months and beyond)","")))</f>
        <v>#N/A</v>
      </c>
      <c r="E392" s="47" t="e" cm="1">
        <f t="array" ref="E392">INDEX(Data!XY2:XY1048576,MATCH(TRUE,Data!XY2:XY1048576&lt;&gt;"",0))</f>
        <v>#N/A</v>
      </c>
    </row>
    <row r="393" spans="3:5" ht="30" x14ac:dyDescent="0.25">
      <c r="C393" s="24" t="s">
        <v>903</v>
      </c>
      <c r="D393" s="45" t="str" cm="1">
        <f t="array" ref="D393">IF(INDEX(Data!XR2:XR1048576,MATCH(TRUE,Data!XR2:XR1048576&lt;&gt;"",0))=1,"Short-term (next 12 months)",
IF(INDEX(Data!XR2:XR1048576,MATCH(TRUE,Data!XR2:XR1048576&lt;&gt;"",0))=2,"Mid-term (next 12-24 months)",
IF(INDEX(Data!XR2:XR1048576,MATCH(TRUE,Data!XR2:XR1048576&lt;&gt;"",0))=3,"Long-term (24 months and beyond)","")))</f>
        <v>Short-term (next 12 months)</v>
      </c>
      <c r="E393" s="47" t="str" cm="1">
        <f t="array" ref="E393">INDEX(Data!XZ2:XZ1048576,MATCH(TRUE,Data!XZ2:XZ1048576&lt;&gt;"",0))</f>
        <v>df</v>
      </c>
    </row>
    <row r="394" spans="3:5" x14ac:dyDescent="0.25">
      <c r="C394" s="24" t="s">
        <v>903</v>
      </c>
      <c r="D394" s="45" t="e" cm="1">
        <f t="array" ref="D394">IF(INDEX(Data!XS2:XS1048576,MATCH(TRUE,Data!XS2:XS1048576&lt;&gt;"",0))=1,"Short-term (next 12 months)",
IF(INDEX(Data!XS2:XS1048576,MATCH(TRUE,Data!XS2:XS1048576&lt;&gt;"",0))=2,"Mid-term (next 12-24 months)",
IF(INDEX(Data!XS2:XS1048576,MATCH(TRUE,Data!XS2:XS1048576&lt;&gt;"",0))=3,"Long-term (24 months and beyond)","")))</f>
        <v>#N/A</v>
      </c>
      <c r="E394" s="47" t="e" cm="1">
        <f t="array" ref="E394">INDEX(Data!YA2:YA1048576,MATCH(TRUE,Data!YA2:YA1048576&lt;&gt;"",0))</f>
        <v>#N/A</v>
      </c>
    </row>
    <row r="395" spans="3:5" x14ac:dyDescent="0.25">
      <c r="C395" s="24" t="s">
        <v>903</v>
      </c>
      <c r="D395" s="45" t="e" cm="1">
        <f t="array" ref="D395">IF(INDEX(Data!XT2:XT1048576,MATCH(TRUE,Data!XT2:XT1048576&lt;&gt;"",0))=1,"Short-term (next 12 months)",
IF(INDEX(Data!XT2:XT1048576,MATCH(TRUE,Data!XT2:XT1048576&lt;&gt;"",0))=2,"Mid-term (next 12-24 months)",
IF(INDEX(Data!XT2:XT1048576,MATCH(TRUE,Data!XT2:XT1048576&lt;&gt;"",0))=3,"Long-term (24 months and beyond)","")))</f>
        <v>#N/A</v>
      </c>
      <c r="E395" s="47" t="e" cm="1">
        <f t="array" ref="E395">INDEX(Data!YB2:YB1048576,MATCH(TRUE,Data!YB2:YB1048576&lt;&gt;"",0))</f>
        <v>#N/A</v>
      </c>
    </row>
    <row r="400" spans="3:5" ht="15.6" thickBot="1" x14ac:dyDescent="0.3"/>
    <row r="401" spans="3:5" ht="35.4" thickBot="1" x14ac:dyDescent="0.3">
      <c r="C401" s="26" t="s">
        <v>35</v>
      </c>
      <c r="D401" s="44" t="s">
        <v>894</v>
      </c>
      <c r="E401" s="44" t="s">
        <v>895</v>
      </c>
    </row>
    <row r="402" spans="3:5" x14ac:dyDescent="0.25">
      <c r="C402" s="24" t="s">
        <v>1073</v>
      </c>
      <c r="D402" s="45" t="e" cm="1">
        <f t="array" ref="D402">IF(INDEX(Data!YF2:YF1048576,MATCH(TRUE,Data!YF2:YF1048576&lt;&gt;"",0))=1,"Short-term (next 12 months)",
IF(INDEX(Data!YF2:YF1048576,MATCH(TRUE,Data!YF2:YF1048576&lt;&gt;"",0))=2,"Mid-term (next 12-24 months)",
IF(INDEX(Data!YF2:YF1048576,MATCH(TRUE,Data!YF2:YF1048576&lt;&gt;"",0))=3,"Long-term (24 months and beyond)","")))</f>
        <v>#N/A</v>
      </c>
      <c r="E402" s="47" t="e" cm="1">
        <f t="array" ref="E402">INDEX(Data!YS2:YS1048576,MATCH(TRUE,Data!YS2:YS1048576&lt;&gt;"",0))</f>
        <v>#N/A</v>
      </c>
    </row>
    <row r="403" spans="3:5" x14ac:dyDescent="0.25">
      <c r="C403" s="24" t="s">
        <v>1074</v>
      </c>
      <c r="D403" s="45" t="e" cm="1">
        <f t="array" ref="D403">IF(INDEX(Data!YG2:YG1048576,MATCH(TRUE,Data!YG2:YG1048576&lt;&gt;"",0))=1,"Short-term (next 12 months)",
IF(INDEX(Data!YG2:YG1048576,MATCH(TRUE,Data!YG2:YG1048576&lt;&gt;"",0))=2,"Mid-term (next 12-24 months)",
IF(INDEX(Data!YG2:YG1048576,MATCH(TRUE,Data!YG2:YG1048576&lt;&gt;"",0))=3,"Long-term (24 months and beyond)","")))</f>
        <v>#N/A</v>
      </c>
      <c r="E403" s="47" t="e" cm="1">
        <f t="array" ref="E403">INDEX(Data!YT2:YT1048576,MATCH(TRUE,Data!YT2:YT1048576&lt;&gt;"",0))</f>
        <v>#N/A</v>
      </c>
    </row>
    <row r="404" spans="3:5" x14ac:dyDescent="0.25">
      <c r="C404" s="24" t="s">
        <v>1075</v>
      </c>
      <c r="D404" s="45" t="e" cm="1">
        <f t="array" ref="D404">IF(INDEX(Data!YH2:YH1048576,MATCH(TRUE,Data!YH2:YH1048576&lt;&gt;"",0))=1,"Short-term (next 12 months)",
IF(INDEX(Data!YH2:YH1048576,MATCH(TRUE,Data!YH2:YH1048576&lt;&gt;"",0))=2,"Mid-term (next 12-24 months)",
IF(INDEX(Data!YH2:YH1048576,MATCH(TRUE,Data!YH2:YH1048576&lt;&gt;"",0))=3,"Long-term (24 months and beyond)","")))</f>
        <v>#N/A</v>
      </c>
      <c r="E404" s="47" t="e" cm="1">
        <f t="array" ref="E404">INDEX(Data!YU2:YU1048576,MATCH(TRUE,Data!YU2:YU1048576&lt;&gt;"",0))</f>
        <v>#N/A</v>
      </c>
    </row>
    <row r="405" spans="3:5" x14ac:dyDescent="0.25">
      <c r="C405" s="24" t="s">
        <v>1076</v>
      </c>
      <c r="D405" s="45" t="e" cm="1">
        <f t="array" ref="D405">IF(INDEX(Data!YI2:YI1048576,MATCH(TRUE,Data!YI2:YI1048576&lt;&gt;"",0))=1,"Short-term (next 12 months)",
IF(INDEX(Data!YI2:YI1048576,MATCH(TRUE,Data!YI2:YI1048576&lt;&gt;"",0))=2,"Mid-term (next12-24 months)",
IF(INDEX(Data!YI2:YI1048576,MATCH(TRUE,Data!YI2:YI1048576&lt;&gt;"",0))=3,"Long-term (24 months and beyond)","")))</f>
        <v>#N/A</v>
      </c>
      <c r="E405" s="47" t="e" cm="1">
        <f t="array" ref="E405">INDEX(Data!YV2:YV1048576,MATCH(TRUE,Data!YV2:YV1048576&lt;&gt;"",0))</f>
        <v>#N/A</v>
      </c>
    </row>
    <row r="406" spans="3:5" ht="45" x14ac:dyDescent="0.25">
      <c r="C406" s="24" t="s">
        <v>1077</v>
      </c>
      <c r="D406" s="45" t="str" cm="1">
        <f t="array" ref="D406">IF(INDEX(Data!YJ2:YJ1048576,MATCH(TRUE,Data!YJ2:YJ1048576&lt;&gt;"",0))=1,"Short-term (next12 months)",
IF(INDEX(Data!YJ2:YJ1048576,MATCH(TRUE,Data!YJ2:YJ1048576&lt;&gt;"",0))=2,"Mid-term (next 12-24 months)",
IF(INDEX(Data!YJ2:YJ1048576,MATCH(TRUE,Data!YJ2:YJ1048576&lt;&gt;"",0))=3,"Long-term (24 months and beyond)","")))</f>
        <v>Long-term (24 months and beyond)</v>
      </c>
      <c r="E406" s="47" t="str" cm="1">
        <f t="array" ref="E406">INDEX(Data!YW2:YW1048576,MATCH(TRUE,Data!YW2:YW1048576&lt;&gt;"",0))</f>
        <v>df</v>
      </c>
    </row>
    <row r="407" spans="3:5" ht="45" x14ac:dyDescent="0.25">
      <c r="C407" s="24" t="s">
        <v>1078</v>
      </c>
      <c r="D407" s="45" t="str" cm="1">
        <f t="array" ref="D407">IF(INDEX(Data!YK2:YK1048576,MATCH(TRUE,Data!YK2:YK1048576&lt;&gt;"",0))=1,"Short-term (next 12 months)",
IF(INDEX(Data!YK2:YK1048576,MATCH(TRUE,Data!YK2:YK1048576&lt;&gt;"",0))=2,"Mid-term (next 12-24 months)",
IF(INDEX(Data!YK2:YK1048576,MATCH(TRUE,Data!YK2:YK1048576&lt;&gt;"",0))=3,"Long-term (24 months and beyond)","")))</f>
        <v>Long-term (24 months and beyond)</v>
      </c>
      <c r="E407" s="47" t="str" cm="1">
        <f t="array" ref="E407">INDEX(Data!YX2:YX1048576,MATCH(TRUE,Data!YX2:YX1048576&lt;&gt;"",0))</f>
        <v>df</v>
      </c>
    </row>
    <row r="408" spans="3:5" ht="30" x14ac:dyDescent="0.25">
      <c r="C408" s="24" t="s">
        <v>1079</v>
      </c>
      <c r="D408" s="45" t="e" cm="1">
        <f t="array" ref="D408">IF(INDEX(Data!YL2:YL1048576,MATCH(TRUE,Data!YL2:YL1048576&lt;&gt;"",0))=1,"Short-term (next 12 months)",
IF(INDEX(Data!YL2:YL1048576,MATCH(TRUE,Data!YL2:YL1048576&lt;&gt;"",0))=2,"Mid-term (next12-24 months)",
IF(INDEX(Data!YL2:YL1048576,MATCH(TRUE,Data!YL2:YL1048576&lt;&gt;"",0))=3,"Long-term (24 months and beyond)","")))</f>
        <v>#N/A</v>
      </c>
      <c r="E408" s="47" t="e" cm="1">
        <f t="array" ref="E408">INDEX(Data!YY2:YY1048576,MATCH(TRUE,Data!YY2:YY1048576&lt;&gt;"",0))</f>
        <v>#N/A</v>
      </c>
    </row>
    <row r="409" spans="3:5" x14ac:dyDescent="0.25">
      <c r="C409" s="24" t="s">
        <v>1080</v>
      </c>
      <c r="D409" s="45" t="e" cm="1">
        <f t="array" ref="D409">IF(INDEX(Data!YM2:YM1048576,MATCH(TRUE,Data!YM2:YM1048576&lt;&gt;"",0))=1,"Short-term (next 12 months)",
IF(INDEX(Data!YM2:YM1048576,MATCH(TRUE,Data!YM2:YM1048576&lt;&gt;"",0))=2,"Mid-term (next 12-24 months)",
IF(INDEX(Data!YM2:YM1048576,MATCH(TRUE,Data!YM2:YM1048576&lt;&gt;"",0))=3,"Long-term (24 months and beyond)","")))</f>
        <v>#N/A</v>
      </c>
      <c r="E409" s="47" t="e" cm="1">
        <f t="array" ref="E409">INDEX(Data!YZ2:YZ1048576,MATCH(TRUE,Data!YZ2:YZ1048576&lt;&gt;"",0))</f>
        <v>#N/A</v>
      </c>
    </row>
    <row r="410" spans="3:5" x14ac:dyDescent="0.25">
      <c r="C410" s="24" t="s">
        <v>1081</v>
      </c>
      <c r="D410" s="45" t="e" cm="1">
        <f t="array" ref="D410">IF(INDEX(Data!YN2:YN1048576,MATCH(TRUE,Data!YN2:YN1048576&lt;&gt;"",0))=1,"Short-term (next 12 months)",
IF(INDEX(Data!YN2:YN1048576,MATCH(TRUE,Data!YN2:YN1048576&lt;&gt;"",0))=2,"Mid-term (next 12-24 months)",
IF(INDEX(Data!YN2:YN1048576,MATCH(TRUE,Data!YN2:YN1048576&lt;&gt;"",0))=3,"Long-term (24 months and beyond)","")))</f>
        <v>#N/A</v>
      </c>
      <c r="E410" s="47" t="e" cm="1">
        <f t="array" ref="E410">INDEX(Data!ZA2:ZA1048576,MATCH(TRUE,Data!ZA2:ZA1048576&lt;&gt;"",0))</f>
        <v>#N/A</v>
      </c>
    </row>
    <row r="411" spans="3:5" x14ac:dyDescent="0.25">
      <c r="C411" s="24" t="s">
        <v>1082</v>
      </c>
      <c r="D411" s="45" t="e" cm="1">
        <f t="array" ref="D411">IF(INDEX(Data!YO2:YO1048576,MATCH(TRUE,Data!YO2:YO1048576&lt;&gt;"",0))=1,"Short-term (next 12 months)",
IF(INDEX(Data!YO2:YO1048576,MATCH(TRUE,Data!YO2:YO1048576&lt;&gt;"",0))=2,"Mid-term (next 12-24 months)",
IF(INDEX(Data!YO2:YO1048576,MATCH(TRUE,Data!YO2:YO1048576&lt;&gt;"",0))=3,"Long-term (24 months and beyond)","")))</f>
        <v>#N/A</v>
      </c>
      <c r="E411" s="47" t="e" cm="1">
        <f t="array" ref="E411">INDEX(Data!ZB2:ZB1048576,MATCH(TRUE,Data!ZB2:ZB1048576&lt;&gt;"",0))</f>
        <v>#N/A</v>
      </c>
    </row>
    <row r="412" spans="3:5" x14ac:dyDescent="0.25">
      <c r="C412" s="24" t="s">
        <v>903</v>
      </c>
      <c r="D412" s="45" t="e" cm="1">
        <f t="array" ref="D412">IF(INDEX(Data!YP2:YP1048576,MATCH(TRUE,Data!YP2:YP1048576&lt;&gt;"",0))=1,"Short-term (next 12 months)",
IF(INDEX(Data!YP2:YP1048576,MATCH(TRUE,Data!YP2:YP1048576&lt;&gt;"",0))=2,"Mid-term (next 12-24 months)",
IF(INDEX(Data!YP2:YP1048576,MATCH(TRUE,Data!YP2:YP1048576&lt;&gt;"",0))=3,"Long-term (24 months and beyond)","")))</f>
        <v>#N/A</v>
      </c>
      <c r="E412" s="47" t="e" cm="1">
        <f t="array" ref="E412">INDEX(Data!ZC2:ZC1048576,MATCH(TRUE,Data!ZC2:ZC1048576&lt;&gt;"",0))</f>
        <v>#N/A</v>
      </c>
    </row>
    <row r="413" spans="3:5" x14ac:dyDescent="0.25">
      <c r="C413" s="24" t="s">
        <v>903</v>
      </c>
      <c r="D413" s="45" t="e" cm="1">
        <f t="array" ref="D413">IF(INDEX(Data!YQ2:YQ1048576,MATCH(TRUE,Data!YQ2:YQ1048576&lt;&gt;"",0))=1,"Short-term (next 12 months)",
IF(INDEX(Data!YQ2:YQ1048576,MATCH(TRUE,Data!YQ2:YQ1048576&lt;&gt;"",0))=2,"Mid-term (next 12-24 months)",
IF(INDEX(Data!YQ2:YQ1048576,MATCH(TRUE,Data!YQ2:YQ1048576&lt;&gt;"",0))=3,"Long-term (24 months and beyqnd)","")))</f>
        <v>#N/A</v>
      </c>
      <c r="E413" s="47" t="e" cm="1">
        <f t="array" ref="E413">INDEX(Data!ZD2:ZD1048576,MATCH(TRUE,Data!ZD2:ZD1048576&lt;&gt;"",0))</f>
        <v>#N/A</v>
      </c>
    </row>
    <row r="414" spans="3:5" x14ac:dyDescent="0.25">
      <c r="C414" s="24" t="s">
        <v>903</v>
      </c>
      <c r="D414" s="45" t="e" cm="1">
        <f t="array" ref="D414">IF(INDEX(Data!YR2:YR1048576,MATCH(TRUE,Data!YR2:YR1048576&lt;&gt;"",0))=1,"Short-term (next 12 months)",
IF(INDEX(Data!YR2:YR1048576,MATCH(TRUE,Data!YR2:YR1048576&lt;&gt;"",0))=2,"Mid-term (next 12-24 months)",
IF(INDEX(Data!YR2:YR1048576,MATCH(TRUE,Data!YR2:YR1048576&lt;&gt;"",0))=3,"Long-term (24 months and beyrnd)","")))</f>
        <v>#N/A</v>
      </c>
      <c r="E414" s="47" t="str" cm="1">
        <f t="array" ref="E414">INDEX(Data!ZE2:ZE1048576,MATCH(TRUE,Data!ZE2:ZE1048576&lt;&gt;"",0))</f>
        <v>Test</v>
      </c>
    </row>
    <row r="419" spans="3:5" ht="15.6" thickBot="1" x14ac:dyDescent="0.3"/>
    <row r="420" spans="3:5" ht="35.4" thickBot="1" x14ac:dyDescent="0.3">
      <c r="C420" s="26" t="s">
        <v>36</v>
      </c>
      <c r="D420" s="44" t="s">
        <v>894</v>
      </c>
      <c r="E420" s="44" t="s">
        <v>895</v>
      </c>
    </row>
    <row r="421" spans="3:5" x14ac:dyDescent="0.25">
      <c r="C421" s="24" t="s">
        <v>1083</v>
      </c>
      <c r="D421" s="45" t="e" cm="1">
        <f t="array" ref="D421">IF(INDEX(Data!ZI2:ZI1048576,MATCH(TRUE,Data!ZI2:ZI1048576&lt;&gt;"",0))=1,"Short-term (next 12 months)",
IF(INDEX(Data!ZI2:ZI1048576,MATCH(TRUE,Data!ZI2:ZI1048576&lt;&gt;"",0))=2,"Mid-term (next 12-24 months)",
IF(INDEX(Data!ZI2:ZI1048576,MATCH(TRUE,Data!ZI2:ZI1048576&lt;&gt;"",0))=3,"Long-term (24 months and bezind)","")))</f>
        <v>#N/A</v>
      </c>
      <c r="E421" s="47" t="e" cm="1">
        <f t="array" ref="E421">INDEX(Data!ZR2:ZR1048576,MATCH(TRUE,Data!ZR2:ZR1048576&lt;&gt;"",0))</f>
        <v>#N/A</v>
      </c>
    </row>
    <row r="422" spans="3:5" ht="45" x14ac:dyDescent="0.25">
      <c r="C422" s="24" t="s">
        <v>1084</v>
      </c>
      <c r="D422" s="45" t="str" cm="1">
        <f t="array" ref="D422">IF(INDEX(Data!ZJ2:ZJ1048576,MATCH(TRUE,Data!ZJ2:ZJ1048576&lt;&gt;"",0))=1,"Short-term (next 12 months)",
IF(INDEX(Data!ZJ2:ZJ1048576,MATCH(TRUE,Data!ZJ2:ZJ1048576&lt;&gt;"",0))=2,"Mid-term (next 12-24 months)",
IF(INDEX(Data!ZJ2:ZJ1048576,MATCH(TRUE,Data!ZJ2:ZJ1048576&lt;&gt;"",0))=3,"Long-term (24 months and bezjnd)","")))</f>
        <v>Long-term (24 months and bezjnd)</v>
      </c>
      <c r="E422" s="47" t="e" cm="1">
        <f t="array" ref="E422">INDEX(Data!ZS2:ZS1048576,MATCH(TRUE,Data!ZS2:ZS1048576&lt;&gt;"",0))</f>
        <v>#N/A</v>
      </c>
    </row>
    <row r="423" spans="3:5" ht="30" x14ac:dyDescent="0.25">
      <c r="C423" s="24" t="s">
        <v>1085</v>
      </c>
      <c r="D423" s="45" t="e" cm="1">
        <f t="array" ref="D423">IF(INDEX(Data!ZK2:ZK1048576,MATCH(TRUE,Data!ZK2:ZK1048576&lt;&gt;"",0))=1,"Short-term (next 12 months)",
IF(INDEX(Data!ZK2:ZK1048576,MATCH(TRUE,Data!ZK2:ZK1048576&lt;&gt;"",0))=2,"Mid-term (next 12-24 months)",
IF(INDEX(Data!ZK2:ZK1048576,MATCH(TRUE,Data!ZK2:ZK1048576&lt;&gt;"",0))=3,"Long-term (24 months and bezknd)","")))</f>
        <v>#N/A</v>
      </c>
      <c r="E423" s="47" t="str" cm="1">
        <f t="array" ref="E423">INDEX(Data!ZT2:ZT1048576,MATCH(TRUE,Data!ZT2:ZT1048576&lt;&gt;"",0))</f>
        <v>df</v>
      </c>
    </row>
    <row r="424" spans="3:5" ht="45" x14ac:dyDescent="0.25">
      <c r="C424" s="24" t="s">
        <v>1086</v>
      </c>
      <c r="D424" s="45" t="str" cm="1">
        <f t="array" ref="D424">IF(INDEX(Data!ZL2:ZL1048576,MATCH(TRUE,Data!ZL2:ZL1048576&lt;&gt;"",0))=1,"Short-term (next 12 months)",
IF(INDEX(Data!ZL2:ZL1048576,MATCH(TRUE,Data!ZL2:ZL1048576&lt;&gt;"",0))=2,"Mid-term (next 12-24 months)",
IF(INDEX(Data!ZL2:ZL1048576,MATCH(TRUE,Data!ZL2:ZL1048576&lt;&gt;"",0))=3,"Long-term (24 months and bezlnd)","")))</f>
        <v>Long-term (24 months and bezlnd)</v>
      </c>
      <c r="E424" s="47" t="e" cm="1">
        <f t="array" ref="E424">INDEX(Data!ZU2:ZU1048576,MATCH(TRUE,Data!ZU2:ZU1048576&lt;&gt;"",0))</f>
        <v>#N/A</v>
      </c>
    </row>
    <row r="425" spans="3:5" ht="30" x14ac:dyDescent="0.25">
      <c r="C425" s="24" t="s">
        <v>1087</v>
      </c>
      <c r="D425" s="45" t="e" cm="1">
        <f t="array" ref="D425">IF(INDEX(Data!ZM2:ZM1048576,MATCH(TRUE,Data!ZM2:ZM1048576&lt;&gt;"",0))=1,"Short-term (next 12 months)",
IF(INDEX(Data!ZM2:ZM1048576,MATCH(TRUE,Data!ZM2:ZM1048576&lt;&gt;"",0))=2,"Mid-term (next 12-24 months)",
IF(INDEX(Data!ZM2:ZM1048576,MATCH(TRUE,Data!ZM2:ZM1048576&lt;&gt;"",0))=3,"Long-term (24 months and bezmnd)","")))</f>
        <v>#N/A</v>
      </c>
      <c r="E425" s="47" t="str" cm="1">
        <f t="array" ref="E425">INDEX(Data!ZV2:ZV1048576,MATCH(TRUE,Data!ZV2:ZV1048576&lt;&gt;"",0))</f>
        <v>df</v>
      </c>
    </row>
    <row r="426" spans="3:5" ht="30" x14ac:dyDescent="0.25">
      <c r="C426" s="24" t="s">
        <v>1088</v>
      </c>
      <c r="D426" s="45" t="e" cm="1">
        <f t="array" ref="D426">IF(INDEX(Data!ZN2:ZN1048576,MATCH(TRUE,Data!ZN2:ZN1048576&lt;&gt;"",0))=1,"Short-term (next 12 months)",
IF(INDEX(Data!ZN2:ZN1048576,MATCH(TRUE,Data!ZN2:ZN1048576&lt;&gt;"",0))=2,"Mid-term (next 12-24 months)",
IF(INDEX(Data!ZN2:ZN1048576,MATCH(TRUE,Data!ZN2:ZN1048576&lt;&gt;"",0))=3,"Long-term (24 months and beznnd)","")))</f>
        <v>#N/A</v>
      </c>
      <c r="E426" s="47" t="e" cm="1">
        <f t="array" ref="E426">INDEX(Data!ZW2:ZW1048576,MATCH(TRUE,Data!ZW2:ZW1048576&lt;&gt;"",0))</f>
        <v>#N/A</v>
      </c>
    </row>
    <row r="427" spans="3:5" x14ac:dyDescent="0.25">
      <c r="C427" s="24" t="s">
        <v>903</v>
      </c>
      <c r="D427" s="45" t="e" cm="1">
        <f t="array" ref="D427">IF(INDEX(Data!ZO2:ZO1048576,MATCH(TRUE,Data!ZO2:ZO1048576&lt;&gt;"",0))=1,"Short-term (next 12 months)",
IF(INDEX(Data!ZO2:ZO1048576,MATCH(TRUE,Data!ZO2:ZO1048576&lt;&gt;"",0))=2,"Mid-term (next 12-24 months)",
IF(INDEX(Data!ZO2:ZO1048576,MATCH(TRUE,Data!ZO2:ZO1048576&lt;&gt;"",0))=3,"Long-term (24 months and bezond)","")))</f>
        <v>#N/A</v>
      </c>
      <c r="E427" s="47" t="e" cm="1">
        <f t="array" ref="E427">INDEX(Data!ZX2:ZX1048576,MATCH(TRUE,Data!ZX2:ZX1048576&lt;&gt;"",0))</f>
        <v>#N/A</v>
      </c>
    </row>
    <row r="428" spans="3:5" x14ac:dyDescent="0.25">
      <c r="C428" s="24" t="s">
        <v>903</v>
      </c>
      <c r="D428" s="45" t="e" cm="1">
        <f t="array" ref="D428">IF(INDEX(Data!ZP2:ZP1048576,MATCH(TRUE,Data!ZP2:ZP1048576&lt;&gt;"",0))=1,"Short-term (next 12 months)",
IF(INDEX(Data!ZP2:ZP1048576,MATCH(TRUE,Data!ZP2:ZP1048576&lt;&gt;"",0))=2,"Mid-term (next 12-24 months)",
IF(INDEX(Data!ZP2:ZP1048576,MATCH(TRUE,Data!ZP2:ZP1048576&lt;&gt;"",0))=3,"Long-term (24 months and bezpnd)","")))</f>
        <v>#N/A</v>
      </c>
      <c r="E428" s="47" t="e" cm="1">
        <f t="array" ref="E428">INDEX(Data!ZY2:ZY1048576,MATCH(TRUE,Data!ZY2:ZY1048576&lt;&gt;"",0))</f>
        <v>#N/A</v>
      </c>
    </row>
    <row r="429" spans="3:5" x14ac:dyDescent="0.25">
      <c r="C429" s="24" t="s">
        <v>903</v>
      </c>
      <c r="D429" s="45" t="e" cm="1">
        <f t="array" ref="D429">IF(INDEX(Data!ZQ2:ZQ1048576,MATCH(TRUE,Data!ZQ2:ZQ1048576&lt;&gt;"",0))=1,"Short-term (next 12 months)",
IF(INDEX(Data!ZQ2:ZQ1048576,MATCH(TRUE,Data!ZQ2:ZQ1048576&lt;&gt;"",0))=2,"Mid-term (next 12-24 months)",
IF(INDEX(Data!ZQ2:ZQ1048576,MATCH(TRUE,Data!ZQ2:ZQ1048576&lt;&gt;"",0))=3,"Long-term (24 months and bezqnd)","")))</f>
        <v>#N/A</v>
      </c>
      <c r="E429" s="47" t="str" cm="1">
        <f t="array" ref="E429">INDEX(Data!ZZ2:ZZ1048576,MATCH(TRUE,Data!ZZ2:ZZ1048576&lt;&gt;"",0))</f>
        <v>Test</v>
      </c>
    </row>
  </sheetData>
  <conditionalFormatting sqref="C4:C13 C20:E27 C63:C70 D63:E73 D93:E100 D136:E144 D171:E176 D209:E221 D228:E236 D301:E308 D315:E321 D328:E334 D341:E352 D359:E365 D372:E381 D421:E429 D81:D87 C80:C84 E80:E86 D183:E190 E388:E395 D389:D395">
    <cfRule type="cellIs" dxfId="65" priority="96" operator="equal">
      <formula>0</formula>
    </cfRule>
  </conditionalFormatting>
  <conditionalFormatting sqref="D4:D13">
    <cfRule type="cellIs" dxfId="64" priority="95" operator="equal">
      <formula>0</formula>
    </cfRule>
  </conditionalFormatting>
  <conditionalFormatting sqref="E4:E13">
    <cfRule type="cellIs" dxfId="63" priority="94" operator="equal">
      <formula>0</formula>
    </cfRule>
  </conditionalFormatting>
  <conditionalFormatting sqref="C33:C39">
    <cfRule type="cellIs" dxfId="62" priority="84" operator="equal">
      <formula>0</formula>
    </cfRule>
  </conditionalFormatting>
  <conditionalFormatting sqref="D33:D42">
    <cfRule type="cellIs" dxfId="61" priority="83" operator="equal">
      <formula>0</formula>
    </cfRule>
  </conditionalFormatting>
  <conditionalFormatting sqref="E33:E42">
    <cfRule type="cellIs" dxfId="60" priority="82" operator="equal">
      <formula>0</formula>
    </cfRule>
  </conditionalFormatting>
  <conditionalFormatting sqref="C40:C42">
    <cfRule type="cellIs" dxfId="59" priority="81" operator="equal">
      <formula>0</formula>
    </cfRule>
  </conditionalFormatting>
  <conditionalFormatting sqref="C48:C54">
    <cfRule type="cellIs" dxfId="58" priority="80" operator="equal">
      <formula>0</formula>
    </cfRule>
  </conditionalFormatting>
  <conditionalFormatting sqref="D48:D57">
    <cfRule type="cellIs" dxfId="57" priority="79" operator="equal">
      <formula>0</formula>
    </cfRule>
  </conditionalFormatting>
  <conditionalFormatting sqref="E48:E57">
    <cfRule type="cellIs" dxfId="56" priority="78" operator="equal">
      <formula>0</formula>
    </cfRule>
  </conditionalFormatting>
  <conditionalFormatting sqref="C55:C57">
    <cfRule type="cellIs" dxfId="55" priority="77" operator="equal">
      <formula>0</formula>
    </cfRule>
  </conditionalFormatting>
  <conditionalFormatting sqref="C71:C73">
    <cfRule type="cellIs" dxfId="54" priority="73" operator="equal">
      <formula>0</formula>
    </cfRule>
  </conditionalFormatting>
  <conditionalFormatting sqref="C85:C87">
    <cfRule type="cellIs" dxfId="53" priority="71" operator="equal">
      <formula>0</formula>
    </cfRule>
  </conditionalFormatting>
  <conditionalFormatting sqref="C93:C97">
    <cfRule type="cellIs" dxfId="52" priority="70" operator="equal">
      <formula>0</formula>
    </cfRule>
  </conditionalFormatting>
  <conditionalFormatting sqref="C98:C100">
    <cfRule type="cellIs" dxfId="51" priority="69" operator="equal">
      <formula>0</formula>
    </cfRule>
  </conditionalFormatting>
  <conditionalFormatting sqref="D106:E113">
    <cfRule type="cellIs" dxfId="50" priority="68" operator="equal">
      <formula>0</formula>
    </cfRule>
  </conditionalFormatting>
  <conditionalFormatting sqref="C106:C110">
    <cfRule type="cellIs" dxfId="49" priority="67" operator="equal">
      <formula>0</formula>
    </cfRule>
  </conditionalFormatting>
  <conditionalFormatting sqref="C111:C113">
    <cfRule type="cellIs" dxfId="48" priority="66" operator="equal">
      <formula>0</formula>
    </cfRule>
  </conditionalFormatting>
  <conditionalFormatting sqref="D120:E130">
    <cfRule type="cellIs" dxfId="47" priority="61" operator="equal">
      <formula>0</formula>
    </cfRule>
  </conditionalFormatting>
  <conditionalFormatting sqref="C120:C127">
    <cfRule type="cellIs" dxfId="46" priority="60" operator="equal">
      <formula>0</formula>
    </cfRule>
  </conditionalFormatting>
  <conditionalFormatting sqref="C128:C130">
    <cfRule type="cellIs" dxfId="45" priority="59" operator="equal">
      <formula>0</formula>
    </cfRule>
  </conditionalFormatting>
  <conditionalFormatting sqref="C136:C141">
    <cfRule type="cellIs" dxfId="44" priority="57" operator="equal">
      <formula>0</formula>
    </cfRule>
  </conditionalFormatting>
  <conditionalFormatting sqref="C142:C144">
    <cfRule type="cellIs" dxfId="43" priority="56" operator="equal">
      <formula>0</formula>
    </cfRule>
  </conditionalFormatting>
  <conditionalFormatting sqref="D151:E164">
    <cfRule type="cellIs" dxfId="42" priority="55" operator="equal">
      <formula>0</formula>
    </cfRule>
  </conditionalFormatting>
  <conditionalFormatting sqref="C151:C161">
    <cfRule type="cellIs" dxfId="41" priority="54" operator="equal">
      <formula>0</formula>
    </cfRule>
  </conditionalFormatting>
  <conditionalFormatting sqref="C162:C164">
    <cfRule type="cellIs" dxfId="40" priority="53" operator="equal">
      <formula>0</formula>
    </cfRule>
  </conditionalFormatting>
  <conditionalFormatting sqref="C171:C173">
    <cfRule type="cellIs" dxfId="39" priority="51" operator="equal">
      <formula>0</formula>
    </cfRule>
  </conditionalFormatting>
  <conditionalFormatting sqref="C174:C176">
    <cfRule type="cellIs" dxfId="38" priority="50" operator="equal">
      <formula>0</formula>
    </cfRule>
  </conditionalFormatting>
  <conditionalFormatting sqref="C183:C187">
    <cfRule type="cellIs" dxfId="37" priority="48" operator="equal">
      <formula>0</formula>
    </cfRule>
  </conditionalFormatting>
  <conditionalFormatting sqref="C188:C190">
    <cfRule type="cellIs" dxfId="36" priority="47" operator="equal">
      <formula>0</formula>
    </cfRule>
  </conditionalFormatting>
  <conditionalFormatting sqref="C209:C218">
    <cfRule type="cellIs" dxfId="35" priority="45" operator="equal">
      <formula>0</formula>
    </cfRule>
  </conditionalFormatting>
  <conditionalFormatting sqref="C219:C221">
    <cfRule type="cellIs" dxfId="34" priority="44" operator="equal">
      <formula>0</formula>
    </cfRule>
  </conditionalFormatting>
  <conditionalFormatting sqref="C228:C233">
    <cfRule type="cellIs" dxfId="33" priority="42" operator="equal">
      <formula>0</formula>
    </cfRule>
  </conditionalFormatting>
  <conditionalFormatting sqref="C234:C236">
    <cfRule type="cellIs" dxfId="32" priority="41" operator="equal">
      <formula>0</formula>
    </cfRule>
  </conditionalFormatting>
  <conditionalFormatting sqref="D243:E253">
    <cfRule type="cellIs" dxfId="31" priority="40" operator="equal">
      <formula>0</formula>
    </cfRule>
  </conditionalFormatting>
  <conditionalFormatting sqref="C243:C250">
    <cfRule type="cellIs" dxfId="30" priority="39" operator="equal">
      <formula>0</formula>
    </cfRule>
  </conditionalFormatting>
  <conditionalFormatting sqref="C251:C253">
    <cfRule type="cellIs" dxfId="29" priority="38" operator="equal">
      <formula>0</formula>
    </cfRule>
  </conditionalFormatting>
  <conditionalFormatting sqref="D260:E272">
    <cfRule type="cellIs" dxfId="28" priority="37" operator="equal">
      <formula>0</formula>
    </cfRule>
  </conditionalFormatting>
  <conditionalFormatting sqref="C260:C269">
    <cfRule type="cellIs" dxfId="27" priority="36" operator="equal">
      <formula>0</formula>
    </cfRule>
  </conditionalFormatting>
  <conditionalFormatting sqref="C270:C272">
    <cfRule type="cellIs" dxfId="26" priority="35" operator="equal">
      <formula>0</formula>
    </cfRule>
  </conditionalFormatting>
  <conditionalFormatting sqref="D279:E294">
    <cfRule type="cellIs" dxfId="25" priority="34" operator="equal">
      <formula>0</formula>
    </cfRule>
  </conditionalFormatting>
  <conditionalFormatting sqref="C279:C291">
    <cfRule type="cellIs" dxfId="24" priority="33" operator="equal">
      <formula>0</formula>
    </cfRule>
  </conditionalFormatting>
  <conditionalFormatting sqref="C292:C294">
    <cfRule type="cellIs" dxfId="23" priority="32" operator="equal">
      <formula>0</formula>
    </cfRule>
  </conditionalFormatting>
  <conditionalFormatting sqref="C301:C305">
    <cfRule type="cellIs" dxfId="22" priority="30" operator="equal">
      <formula>0</formula>
    </cfRule>
  </conditionalFormatting>
  <conditionalFormatting sqref="C306:C308">
    <cfRule type="cellIs" dxfId="21" priority="29" operator="equal">
      <formula>0</formula>
    </cfRule>
  </conditionalFormatting>
  <conditionalFormatting sqref="C315:C318">
    <cfRule type="cellIs" dxfId="20" priority="27" operator="equal">
      <formula>0</formula>
    </cfRule>
  </conditionalFormatting>
  <conditionalFormatting sqref="C319:C321">
    <cfRule type="cellIs" dxfId="19" priority="26" operator="equal">
      <formula>0</formula>
    </cfRule>
  </conditionalFormatting>
  <conditionalFormatting sqref="C328:C331">
    <cfRule type="cellIs" dxfId="18" priority="24" operator="equal">
      <formula>0</formula>
    </cfRule>
  </conditionalFormatting>
  <conditionalFormatting sqref="C332:C334">
    <cfRule type="cellIs" dxfId="17" priority="23" operator="equal">
      <formula>0</formula>
    </cfRule>
  </conditionalFormatting>
  <conditionalFormatting sqref="C341:C349">
    <cfRule type="cellIs" dxfId="16" priority="21" operator="equal">
      <formula>0</formula>
    </cfRule>
  </conditionalFormatting>
  <conditionalFormatting sqref="C350:C352">
    <cfRule type="cellIs" dxfId="15" priority="20" operator="equal">
      <formula>0</formula>
    </cfRule>
  </conditionalFormatting>
  <conditionalFormatting sqref="C359:C362">
    <cfRule type="cellIs" dxfId="14" priority="18" operator="equal">
      <formula>0</formula>
    </cfRule>
  </conditionalFormatting>
  <conditionalFormatting sqref="C363:C365">
    <cfRule type="cellIs" dxfId="13" priority="17" operator="equal">
      <formula>0</formula>
    </cfRule>
  </conditionalFormatting>
  <conditionalFormatting sqref="C372:C378">
    <cfRule type="cellIs" dxfId="12" priority="15" operator="equal">
      <formula>0</formula>
    </cfRule>
  </conditionalFormatting>
  <conditionalFormatting sqref="C379:C381">
    <cfRule type="cellIs" dxfId="11" priority="14" operator="equal">
      <formula>0</formula>
    </cfRule>
  </conditionalFormatting>
  <conditionalFormatting sqref="C388:C392">
    <cfRule type="cellIs" dxfId="10" priority="12" operator="equal">
      <formula>0</formula>
    </cfRule>
  </conditionalFormatting>
  <conditionalFormatting sqref="C393:C395">
    <cfRule type="cellIs" dxfId="9" priority="11" operator="equal">
      <formula>0</formula>
    </cfRule>
  </conditionalFormatting>
  <conditionalFormatting sqref="D402:E414">
    <cfRule type="cellIs" dxfId="8" priority="10" operator="equal">
      <formula>0</formula>
    </cfRule>
  </conditionalFormatting>
  <conditionalFormatting sqref="C402:C411">
    <cfRule type="cellIs" dxfId="7" priority="9" operator="equal">
      <formula>0</formula>
    </cfRule>
  </conditionalFormatting>
  <conditionalFormatting sqref="C412:C414">
    <cfRule type="cellIs" dxfId="6" priority="8" operator="equal">
      <formula>0</formula>
    </cfRule>
  </conditionalFormatting>
  <conditionalFormatting sqref="C421:C426">
    <cfRule type="cellIs" dxfId="5" priority="6" operator="equal">
      <formula>0</formula>
    </cfRule>
  </conditionalFormatting>
  <conditionalFormatting sqref="C427:C429">
    <cfRule type="cellIs" dxfId="4" priority="5" operator="equal">
      <formula>0</formula>
    </cfRule>
  </conditionalFormatting>
  <conditionalFormatting sqref="E87">
    <cfRule type="cellIs" dxfId="3" priority="4" operator="equal">
      <formula>0</formula>
    </cfRule>
  </conditionalFormatting>
  <conditionalFormatting sqref="D198:E203">
    <cfRule type="cellIs" dxfId="2" priority="3" operator="equal">
      <formula>0</formula>
    </cfRule>
  </conditionalFormatting>
  <conditionalFormatting sqref="C198:C200">
    <cfRule type="cellIs" dxfId="1" priority="2" operator="equal">
      <formula>0</formula>
    </cfRule>
  </conditionalFormatting>
  <conditionalFormatting sqref="C201:C20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9502-8D6B-49CF-B1FD-C0D91D0F5428}">
  <sheetPr codeName="Sheet5"/>
  <dimension ref="B1:F2"/>
  <sheetViews>
    <sheetView zoomScale="85" zoomScaleNormal="85" workbookViewId="0">
      <selection activeCell="D15" sqref="D15"/>
    </sheetView>
  </sheetViews>
  <sheetFormatPr defaultRowHeight="13.2" x14ac:dyDescent="0.25"/>
  <cols>
    <col min="1" max="1" width="1.6640625" customWidth="1"/>
    <col min="2" max="2" width="16.21875" customWidth="1"/>
    <col min="3" max="3" width="55.33203125" style="39" customWidth="1"/>
    <col min="4" max="4" width="64.77734375" style="39" customWidth="1"/>
    <col min="5" max="5" width="13" customWidth="1"/>
    <col min="6" max="6" width="54.5546875" customWidth="1"/>
  </cols>
  <sheetData>
    <row r="1" spans="2:6" ht="13.8" thickBot="1" x14ac:dyDescent="0.3"/>
    <row r="2" spans="2:6" ht="42" customHeight="1" thickBot="1" x14ac:dyDescent="0.3">
      <c r="B2" s="37" t="s">
        <v>1124</v>
      </c>
      <c r="C2" s="37" t="s">
        <v>1125</v>
      </c>
      <c r="D2" s="38" t="s">
        <v>1126</v>
      </c>
      <c r="E2" s="40" t="s">
        <v>1127</v>
      </c>
      <c r="F2" s="38" t="s">
        <v>895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BEA1-DF85-4E2B-810D-D3630AF68ED4}">
  <sheetPr codeName="Sheet2"/>
  <dimension ref="A1:AAV21"/>
  <sheetViews>
    <sheetView tabSelected="1" workbookViewId="0"/>
  </sheetViews>
  <sheetFormatPr defaultRowHeight="14.4" x14ac:dyDescent="0.3"/>
  <cols>
    <col min="1" max="16384" width="8.88671875" style="22"/>
  </cols>
  <sheetData>
    <row r="1" spans="1:724" x14ac:dyDescent="0.3">
      <c r="A1" s="22" t="s">
        <v>37</v>
      </c>
      <c r="B1" s="22" t="s">
        <v>38</v>
      </c>
      <c r="C1" s="22" t="s">
        <v>39</v>
      </c>
      <c r="D1" s="22" t="s">
        <v>40</v>
      </c>
      <c r="E1" s="22" t="s">
        <v>41</v>
      </c>
      <c r="F1" s="22" t="s">
        <v>42</v>
      </c>
      <c r="G1" s="22" t="s">
        <v>43</v>
      </c>
      <c r="H1" s="22" t="s">
        <v>44</v>
      </c>
      <c r="I1" s="22" t="s">
        <v>45</v>
      </c>
      <c r="J1" s="22" t="s">
        <v>46</v>
      </c>
      <c r="K1" s="22" t="s">
        <v>47</v>
      </c>
      <c r="L1" s="22" t="s">
        <v>48</v>
      </c>
      <c r="M1" s="22" t="s">
        <v>49</v>
      </c>
      <c r="N1" s="22" t="s">
        <v>50</v>
      </c>
      <c r="O1" s="22" t="s">
        <v>51</v>
      </c>
      <c r="P1" s="22" t="s">
        <v>52</v>
      </c>
      <c r="Q1" s="22" t="s">
        <v>53</v>
      </c>
      <c r="R1" s="22" t="s">
        <v>54</v>
      </c>
      <c r="S1" s="22" t="s">
        <v>55</v>
      </c>
      <c r="T1" s="22" t="s">
        <v>56</v>
      </c>
      <c r="U1" s="22" t="s">
        <v>57</v>
      </c>
      <c r="V1" s="22" t="s">
        <v>58</v>
      </c>
      <c r="W1" s="22" t="s">
        <v>59</v>
      </c>
      <c r="X1" s="22" t="s">
        <v>60</v>
      </c>
      <c r="Y1" s="22" t="s">
        <v>61</v>
      </c>
      <c r="Z1" s="22" t="s">
        <v>62</v>
      </c>
      <c r="AA1" s="22" t="s">
        <v>63</v>
      </c>
      <c r="AB1" s="22" t="s">
        <v>64</v>
      </c>
      <c r="AC1" s="22" t="s">
        <v>65</v>
      </c>
      <c r="AD1" s="22" t="s">
        <v>66</v>
      </c>
      <c r="AE1" s="22" t="s">
        <v>67</v>
      </c>
      <c r="AF1" s="22" t="s">
        <v>68</v>
      </c>
      <c r="AG1" s="22" t="s">
        <v>69</v>
      </c>
      <c r="AH1" s="22" t="s">
        <v>70</v>
      </c>
      <c r="AI1" s="22" t="s">
        <v>71</v>
      </c>
      <c r="AJ1" s="22" t="s">
        <v>72</v>
      </c>
      <c r="AK1" s="22" t="s">
        <v>73</v>
      </c>
      <c r="AL1" s="22" t="s">
        <v>74</v>
      </c>
      <c r="AM1" s="22" t="s">
        <v>75</v>
      </c>
      <c r="AN1" s="22" t="s">
        <v>76</v>
      </c>
      <c r="AO1" s="22" t="s">
        <v>77</v>
      </c>
      <c r="AP1" s="22" t="s">
        <v>78</v>
      </c>
      <c r="AQ1" s="22" t="s">
        <v>79</v>
      </c>
      <c r="AR1" s="22" t="s">
        <v>80</v>
      </c>
      <c r="AS1" s="22" t="s">
        <v>81</v>
      </c>
      <c r="AT1" s="22" t="s">
        <v>82</v>
      </c>
      <c r="AU1" s="22" t="s">
        <v>83</v>
      </c>
      <c r="AV1" s="22" t="s">
        <v>84</v>
      </c>
      <c r="AW1" s="22" t="s">
        <v>85</v>
      </c>
      <c r="AX1" s="22" t="s">
        <v>86</v>
      </c>
      <c r="AY1" s="22" t="s">
        <v>87</v>
      </c>
      <c r="AZ1" s="22" t="s">
        <v>88</v>
      </c>
      <c r="BA1" s="22" t="s">
        <v>89</v>
      </c>
      <c r="BB1" s="22" t="s">
        <v>90</v>
      </c>
      <c r="BC1" s="22" t="s">
        <v>91</v>
      </c>
      <c r="BD1" s="22" t="s">
        <v>92</v>
      </c>
      <c r="BE1" s="22" t="s">
        <v>93</v>
      </c>
      <c r="BF1" s="22" t="s">
        <v>94</v>
      </c>
      <c r="BG1" s="22" t="s">
        <v>95</v>
      </c>
      <c r="BH1" s="22" t="s">
        <v>96</v>
      </c>
      <c r="BI1" s="22" t="s">
        <v>97</v>
      </c>
      <c r="BJ1" s="22" t="s">
        <v>98</v>
      </c>
      <c r="BK1" s="22" t="s">
        <v>99</v>
      </c>
      <c r="BL1" s="22" t="s">
        <v>100</v>
      </c>
      <c r="BM1" s="22" t="s">
        <v>101</v>
      </c>
      <c r="BN1" s="22" t="s">
        <v>102</v>
      </c>
      <c r="BO1" s="22" t="s">
        <v>103</v>
      </c>
      <c r="BP1" s="22" t="s">
        <v>104</v>
      </c>
      <c r="BQ1" s="22" t="s">
        <v>105</v>
      </c>
      <c r="BR1" s="22" t="s">
        <v>106</v>
      </c>
      <c r="BS1" s="22" t="s">
        <v>107</v>
      </c>
      <c r="BT1" s="22" t="s">
        <v>108</v>
      </c>
      <c r="BU1" s="22" t="s">
        <v>109</v>
      </c>
      <c r="BV1" s="22" t="s">
        <v>110</v>
      </c>
      <c r="BW1" s="22" t="s">
        <v>111</v>
      </c>
      <c r="BX1" s="22" t="s">
        <v>112</v>
      </c>
      <c r="BY1" s="22" t="s">
        <v>113</v>
      </c>
      <c r="BZ1" s="22" t="s">
        <v>114</v>
      </c>
      <c r="CA1" s="22" t="s">
        <v>115</v>
      </c>
      <c r="CB1" s="22" t="s">
        <v>116</v>
      </c>
      <c r="CC1" s="22" t="s">
        <v>117</v>
      </c>
      <c r="CD1" s="22" t="s">
        <v>118</v>
      </c>
      <c r="CE1" s="22" t="s">
        <v>119</v>
      </c>
      <c r="CF1" s="22" t="s">
        <v>120</v>
      </c>
      <c r="CG1" s="22" t="s">
        <v>121</v>
      </c>
      <c r="CH1" s="22" t="s">
        <v>122</v>
      </c>
      <c r="CI1" s="22" t="s">
        <v>123</v>
      </c>
      <c r="CJ1" s="22" t="s">
        <v>124</v>
      </c>
      <c r="CK1" s="22" t="s">
        <v>125</v>
      </c>
      <c r="CL1" s="22" t="s">
        <v>126</v>
      </c>
      <c r="CM1" s="22" t="s">
        <v>127</v>
      </c>
      <c r="CN1" s="22" t="s">
        <v>128</v>
      </c>
      <c r="CO1" s="22" t="s">
        <v>129</v>
      </c>
      <c r="CP1" s="22" t="s">
        <v>130</v>
      </c>
      <c r="CQ1" s="22" t="s">
        <v>131</v>
      </c>
      <c r="CR1" s="22" t="s">
        <v>132</v>
      </c>
      <c r="CS1" s="22" t="s">
        <v>133</v>
      </c>
      <c r="CT1" s="22" t="s">
        <v>134</v>
      </c>
      <c r="CU1" s="22" t="s">
        <v>135</v>
      </c>
      <c r="CV1" s="22" t="s">
        <v>136</v>
      </c>
      <c r="CW1" s="22" t="s">
        <v>137</v>
      </c>
      <c r="CX1" s="22" t="s">
        <v>138</v>
      </c>
      <c r="CY1" s="22" t="s">
        <v>139</v>
      </c>
      <c r="CZ1" s="22" t="s">
        <v>140</v>
      </c>
      <c r="DA1" s="22" t="s">
        <v>141</v>
      </c>
      <c r="DB1" s="22" t="s">
        <v>142</v>
      </c>
      <c r="DC1" s="22" t="s">
        <v>143</v>
      </c>
      <c r="DD1" s="22" t="s">
        <v>144</v>
      </c>
      <c r="DE1" s="22" t="s">
        <v>145</v>
      </c>
      <c r="DF1" s="22" t="s">
        <v>146</v>
      </c>
      <c r="DG1" s="22" t="s">
        <v>147</v>
      </c>
      <c r="DH1" s="22" t="s">
        <v>148</v>
      </c>
      <c r="DI1" s="22" t="s">
        <v>149</v>
      </c>
      <c r="DJ1" s="22" t="s">
        <v>150</v>
      </c>
      <c r="DK1" s="22" t="s">
        <v>151</v>
      </c>
      <c r="DL1" s="22" t="s">
        <v>152</v>
      </c>
      <c r="DM1" s="22" t="s">
        <v>153</v>
      </c>
      <c r="DN1" s="22" t="s">
        <v>154</v>
      </c>
      <c r="DO1" s="22" t="s">
        <v>155</v>
      </c>
      <c r="DP1" s="22" t="s">
        <v>156</v>
      </c>
      <c r="DQ1" s="22" t="s">
        <v>157</v>
      </c>
      <c r="DR1" s="22" t="s">
        <v>158</v>
      </c>
      <c r="DS1" s="22" t="s">
        <v>159</v>
      </c>
      <c r="DT1" s="22" t="s">
        <v>160</v>
      </c>
      <c r="DU1" s="22" t="s">
        <v>161</v>
      </c>
      <c r="DV1" s="22" t="s">
        <v>162</v>
      </c>
      <c r="DW1" s="22" t="s">
        <v>163</v>
      </c>
      <c r="DX1" s="22" t="s">
        <v>164</v>
      </c>
      <c r="DY1" s="22" t="s">
        <v>165</v>
      </c>
      <c r="DZ1" s="22" t="s">
        <v>166</v>
      </c>
      <c r="EA1" s="22" t="s">
        <v>167</v>
      </c>
      <c r="EB1" s="22" t="s">
        <v>168</v>
      </c>
      <c r="EC1" s="22" t="s">
        <v>169</v>
      </c>
      <c r="ED1" s="22" t="s">
        <v>170</v>
      </c>
      <c r="EE1" s="22" t="s">
        <v>171</v>
      </c>
      <c r="EF1" s="22" t="s">
        <v>172</v>
      </c>
      <c r="EG1" s="22" t="s">
        <v>173</v>
      </c>
      <c r="EH1" s="22" t="s">
        <v>174</v>
      </c>
      <c r="EI1" s="22" t="s">
        <v>175</v>
      </c>
      <c r="EJ1" s="22" t="s">
        <v>176</v>
      </c>
      <c r="EK1" s="22" t="s">
        <v>177</v>
      </c>
      <c r="EL1" s="22" t="s">
        <v>178</v>
      </c>
      <c r="EM1" s="22" t="s">
        <v>179</v>
      </c>
      <c r="EN1" s="22" t="s">
        <v>180</v>
      </c>
      <c r="EO1" s="22" t="s">
        <v>181</v>
      </c>
      <c r="EP1" s="22" t="s">
        <v>182</v>
      </c>
      <c r="EQ1" s="22" t="s">
        <v>183</v>
      </c>
      <c r="ER1" s="22" t="s">
        <v>184</v>
      </c>
      <c r="ES1" s="22" t="s">
        <v>185</v>
      </c>
      <c r="ET1" s="22" t="s">
        <v>186</v>
      </c>
      <c r="EU1" s="22" t="s">
        <v>187</v>
      </c>
      <c r="EV1" s="22" t="s">
        <v>188</v>
      </c>
      <c r="EW1" s="22" t="s">
        <v>189</v>
      </c>
      <c r="EX1" s="22" t="s">
        <v>190</v>
      </c>
      <c r="EY1" s="22" t="s">
        <v>191</v>
      </c>
      <c r="EZ1" s="22" t="s">
        <v>192</v>
      </c>
      <c r="FA1" s="22" t="s">
        <v>193</v>
      </c>
      <c r="FB1" s="22" t="s">
        <v>194</v>
      </c>
      <c r="FC1" s="22" t="s">
        <v>195</v>
      </c>
      <c r="FD1" s="22" t="s">
        <v>196</v>
      </c>
      <c r="FE1" s="22" t="s">
        <v>197</v>
      </c>
      <c r="FF1" s="22" t="s">
        <v>198</v>
      </c>
      <c r="FG1" s="22" t="s">
        <v>199</v>
      </c>
      <c r="FH1" s="22" t="s">
        <v>200</v>
      </c>
      <c r="FI1" s="22" t="s">
        <v>201</v>
      </c>
      <c r="FJ1" s="22" t="s">
        <v>202</v>
      </c>
      <c r="FK1" s="22" t="s">
        <v>203</v>
      </c>
      <c r="FL1" s="22" t="s">
        <v>204</v>
      </c>
      <c r="FM1" s="22" t="s">
        <v>205</v>
      </c>
      <c r="FN1" s="22" t="s">
        <v>206</v>
      </c>
      <c r="FO1" s="22" t="s">
        <v>207</v>
      </c>
      <c r="FP1" s="22" t="s">
        <v>208</v>
      </c>
      <c r="FQ1" s="22" t="s">
        <v>209</v>
      </c>
      <c r="FR1" s="22" t="s">
        <v>210</v>
      </c>
      <c r="FS1" s="22" t="s">
        <v>211</v>
      </c>
      <c r="FT1" s="22" t="s">
        <v>212</v>
      </c>
      <c r="FU1" s="22" t="s">
        <v>213</v>
      </c>
      <c r="FV1" s="22" t="s">
        <v>214</v>
      </c>
      <c r="FW1" s="22" t="s">
        <v>215</v>
      </c>
      <c r="FX1" s="22" t="s">
        <v>216</v>
      </c>
      <c r="FY1" s="22" t="s">
        <v>217</v>
      </c>
      <c r="FZ1" s="22" t="s">
        <v>218</v>
      </c>
      <c r="GA1" s="22" t="s">
        <v>219</v>
      </c>
      <c r="GB1" s="22" t="s">
        <v>220</v>
      </c>
      <c r="GC1" s="22" t="s">
        <v>221</v>
      </c>
      <c r="GD1" s="22" t="s">
        <v>222</v>
      </c>
      <c r="GE1" s="22" t="s">
        <v>223</v>
      </c>
      <c r="GF1" s="22" t="s">
        <v>224</v>
      </c>
      <c r="GG1" s="22" t="s">
        <v>225</v>
      </c>
      <c r="GH1" s="22" t="s">
        <v>226</v>
      </c>
      <c r="GI1" s="22" t="s">
        <v>227</v>
      </c>
      <c r="GJ1" s="22" t="s">
        <v>228</v>
      </c>
      <c r="GK1" s="22" t="s">
        <v>229</v>
      </c>
      <c r="GL1" s="22" t="s">
        <v>230</v>
      </c>
      <c r="GM1" s="22" t="s">
        <v>231</v>
      </c>
      <c r="GN1" s="22" t="s">
        <v>232</v>
      </c>
      <c r="GO1" s="22" t="s">
        <v>233</v>
      </c>
      <c r="GP1" s="22" t="s">
        <v>234</v>
      </c>
      <c r="GQ1" s="22" t="s">
        <v>235</v>
      </c>
      <c r="GR1" s="22" t="s">
        <v>236</v>
      </c>
      <c r="GS1" s="22" t="s">
        <v>237</v>
      </c>
      <c r="GT1" s="22" t="s">
        <v>238</v>
      </c>
      <c r="GU1" s="22" t="s">
        <v>239</v>
      </c>
      <c r="GV1" s="22" t="s">
        <v>240</v>
      </c>
      <c r="GW1" s="22" t="s">
        <v>241</v>
      </c>
      <c r="GX1" s="22" t="s">
        <v>242</v>
      </c>
      <c r="GY1" s="22" t="s">
        <v>243</v>
      </c>
      <c r="GZ1" s="22" t="s">
        <v>244</v>
      </c>
      <c r="HA1" s="22" t="s">
        <v>245</v>
      </c>
      <c r="HB1" s="22" t="s">
        <v>246</v>
      </c>
      <c r="HC1" s="22" t="s">
        <v>247</v>
      </c>
      <c r="HD1" s="22" t="s">
        <v>248</v>
      </c>
      <c r="HE1" s="22" t="s">
        <v>249</v>
      </c>
      <c r="HF1" s="22" t="s">
        <v>250</v>
      </c>
      <c r="HG1" s="22" t="s">
        <v>251</v>
      </c>
      <c r="HH1" s="22" t="s">
        <v>252</v>
      </c>
      <c r="HI1" s="22" t="s">
        <v>253</v>
      </c>
      <c r="HJ1" s="22" t="s">
        <v>254</v>
      </c>
      <c r="HK1" s="22" t="s">
        <v>255</v>
      </c>
      <c r="HL1" s="22" t="s">
        <v>256</v>
      </c>
      <c r="HM1" s="22" t="s">
        <v>257</v>
      </c>
      <c r="HN1" s="22" t="s">
        <v>258</v>
      </c>
      <c r="HO1" s="22" t="s">
        <v>259</v>
      </c>
      <c r="HP1" s="22" t="s">
        <v>260</v>
      </c>
      <c r="HQ1" s="22" t="s">
        <v>261</v>
      </c>
      <c r="HR1" s="22" t="s">
        <v>262</v>
      </c>
      <c r="HS1" s="22" t="s">
        <v>263</v>
      </c>
      <c r="HT1" s="22" t="s">
        <v>264</v>
      </c>
      <c r="HU1" s="22" t="s">
        <v>265</v>
      </c>
      <c r="HV1" s="22" t="s">
        <v>266</v>
      </c>
      <c r="HW1" s="22" t="s">
        <v>267</v>
      </c>
      <c r="HX1" s="22" t="s">
        <v>268</v>
      </c>
      <c r="HY1" s="22" t="s">
        <v>269</v>
      </c>
      <c r="HZ1" s="22" t="s">
        <v>270</v>
      </c>
      <c r="IA1" s="22" t="s">
        <v>271</v>
      </c>
      <c r="IB1" s="22" t="s">
        <v>272</v>
      </c>
      <c r="IC1" s="22" t="s">
        <v>273</v>
      </c>
      <c r="ID1" s="22" t="s">
        <v>274</v>
      </c>
      <c r="IE1" s="22" t="s">
        <v>275</v>
      </c>
      <c r="IF1" s="22" t="s">
        <v>276</v>
      </c>
      <c r="IG1" s="22" t="s">
        <v>277</v>
      </c>
      <c r="IH1" s="22" t="s">
        <v>278</v>
      </c>
      <c r="II1" s="22" t="s">
        <v>279</v>
      </c>
      <c r="IJ1" s="22" t="s">
        <v>280</v>
      </c>
      <c r="IK1" s="22" t="s">
        <v>281</v>
      </c>
      <c r="IL1" s="22" t="s">
        <v>282</v>
      </c>
      <c r="IM1" s="22" t="s">
        <v>283</v>
      </c>
      <c r="IN1" s="22" t="s">
        <v>284</v>
      </c>
      <c r="IO1" s="22" t="s">
        <v>285</v>
      </c>
      <c r="IP1" s="22" t="s">
        <v>286</v>
      </c>
      <c r="IQ1" s="22" t="s">
        <v>287</v>
      </c>
      <c r="IR1" s="22" t="s">
        <v>288</v>
      </c>
      <c r="IS1" s="22" t="s">
        <v>289</v>
      </c>
      <c r="IT1" s="22" t="s">
        <v>290</v>
      </c>
      <c r="IU1" s="22" t="s">
        <v>291</v>
      </c>
      <c r="IV1" s="22" t="s">
        <v>292</v>
      </c>
      <c r="IW1" s="22" t="s">
        <v>293</v>
      </c>
      <c r="IX1" s="22" t="s">
        <v>294</v>
      </c>
      <c r="IY1" s="22" t="s">
        <v>295</v>
      </c>
      <c r="IZ1" s="22" t="s">
        <v>296</v>
      </c>
      <c r="JA1" s="22" t="s">
        <v>297</v>
      </c>
      <c r="JB1" s="22" t="s">
        <v>298</v>
      </c>
      <c r="JC1" s="22" t="s">
        <v>299</v>
      </c>
      <c r="JD1" s="22" t="s">
        <v>300</v>
      </c>
      <c r="JE1" s="22" t="s">
        <v>301</v>
      </c>
      <c r="JF1" s="22" t="s">
        <v>302</v>
      </c>
      <c r="JG1" s="22" t="s">
        <v>303</v>
      </c>
      <c r="JH1" s="22" t="s">
        <v>304</v>
      </c>
      <c r="JI1" s="22" t="s">
        <v>305</v>
      </c>
      <c r="JJ1" s="22" t="s">
        <v>306</v>
      </c>
      <c r="JK1" s="22" t="s">
        <v>307</v>
      </c>
      <c r="JL1" s="22" t="s">
        <v>308</v>
      </c>
      <c r="JM1" s="22" t="s">
        <v>309</v>
      </c>
      <c r="JN1" s="22" t="s">
        <v>310</v>
      </c>
      <c r="JO1" s="22" t="s">
        <v>311</v>
      </c>
      <c r="JP1" s="22" t="s">
        <v>312</v>
      </c>
      <c r="JQ1" s="22" t="s">
        <v>313</v>
      </c>
      <c r="JR1" s="22" t="s">
        <v>314</v>
      </c>
      <c r="JS1" s="22" t="s">
        <v>315</v>
      </c>
      <c r="JT1" s="22" t="s">
        <v>316</v>
      </c>
      <c r="JU1" s="22" t="s">
        <v>317</v>
      </c>
      <c r="JV1" s="22" t="s">
        <v>318</v>
      </c>
      <c r="JW1" s="22" t="s">
        <v>319</v>
      </c>
      <c r="JX1" s="22" t="s">
        <v>320</v>
      </c>
      <c r="JY1" s="22" t="s">
        <v>321</v>
      </c>
      <c r="JZ1" s="22" t="s">
        <v>322</v>
      </c>
      <c r="KA1" s="22" t="s">
        <v>323</v>
      </c>
      <c r="KB1" s="22" t="s">
        <v>324</v>
      </c>
      <c r="KC1" s="22" t="s">
        <v>325</v>
      </c>
      <c r="KD1" s="22" t="s">
        <v>326</v>
      </c>
      <c r="KE1" s="22" t="s">
        <v>327</v>
      </c>
      <c r="KF1" s="22" t="s">
        <v>328</v>
      </c>
      <c r="KG1" s="22" t="s">
        <v>329</v>
      </c>
      <c r="KH1" s="22" t="s">
        <v>330</v>
      </c>
      <c r="KI1" s="22" t="s">
        <v>331</v>
      </c>
      <c r="KJ1" s="22" t="s">
        <v>332</v>
      </c>
      <c r="KK1" s="22" t="s">
        <v>333</v>
      </c>
      <c r="KL1" s="22" t="s">
        <v>334</v>
      </c>
      <c r="KM1" s="22" t="s">
        <v>335</v>
      </c>
      <c r="KN1" s="22" t="s">
        <v>336</v>
      </c>
      <c r="KO1" s="22" t="s">
        <v>337</v>
      </c>
      <c r="KP1" s="22" t="s">
        <v>338</v>
      </c>
      <c r="KQ1" s="22" t="s">
        <v>339</v>
      </c>
      <c r="KR1" s="22" t="s">
        <v>340</v>
      </c>
      <c r="KS1" s="22" t="s">
        <v>341</v>
      </c>
      <c r="KT1" s="22" t="s">
        <v>342</v>
      </c>
      <c r="KU1" s="22" t="s">
        <v>343</v>
      </c>
      <c r="KV1" s="22" t="s">
        <v>344</v>
      </c>
      <c r="KW1" s="22" t="s">
        <v>345</v>
      </c>
      <c r="KX1" s="22" t="s">
        <v>346</v>
      </c>
      <c r="KY1" s="22" t="s">
        <v>347</v>
      </c>
      <c r="KZ1" s="22" t="s">
        <v>348</v>
      </c>
      <c r="LA1" s="22" t="s">
        <v>349</v>
      </c>
      <c r="LB1" s="22" t="s">
        <v>350</v>
      </c>
      <c r="LC1" s="22" t="s">
        <v>351</v>
      </c>
      <c r="LD1" s="22" t="s">
        <v>352</v>
      </c>
      <c r="LE1" s="22" t="s">
        <v>353</v>
      </c>
      <c r="LF1" s="22" t="s">
        <v>354</v>
      </c>
      <c r="LG1" s="22" t="s">
        <v>355</v>
      </c>
      <c r="LH1" s="22" t="s">
        <v>356</v>
      </c>
      <c r="LI1" s="22" t="s">
        <v>357</v>
      </c>
      <c r="LJ1" s="22" t="s">
        <v>358</v>
      </c>
      <c r="LK1" s="22" t="s">
        <v>359</v>
      </c>
      <c r="LL1" s="22" t="s">
        <v>360</v>
      </c>
      <c r="LM1" s="22" t="s">
        <v>361</v>
      </c>
      <c r="LN1" s="22" t="s">
        <v>362</v>
      </c>
      <c r="LO1" s="22" t="s">
        <v>363</v>
      </c>
      <c r="LP1" s="22" t="s">
        <v>364</v>
      </c>
      <c r="LQ1" s="22" t="s">
        <v>365</v>
      </c>
      <c r="LR1" s="22" t="s">
        <v>366</v>
      </c>
      <c r="LS1" s="22" t="s">
        <v>367</v>
      </c>
      <c r="LT1" s="22" t="s">
        <v>368</v>
      </c>
      <c r="LU1" s="22" t="s">
        <v>369</v>
      </c>
      <c r="LV1" s="22" t="s">
        <v>370</v>
      </c>
      <c r="LW1" s="22" t="s">
        <v>371</v>
      </c>
      <c r="LX1" s="22" t="s">
        <v>372</v>
      </c>
      <c r="LY1" s="22" t="s">
        <v>373</v>
      </c>
      <c r="LZ1" s="22" t="s">
        <v>374</v>
      </c>
      <c r="MA1" s="22" t="s">
        <v>375</v>
      </c>
      <c r="MB1" s="22" t="s">
        <v>376</v>
      </c>
      <c r="MC1" s="22" t="s">
        <v>377</v>
      </c>
      <c r="MD1" s="22" t="s">
        <v>378</v>
      </c>
      <c r="ME1" s="22" t="s">
        <v>379</v>
      </c>
      <c r="MF1" s="22" t="s">
        <v>380</v>
      </c>
      <c r="MG1" s="22" t="s">
        <v>381</v>
      </c>
      <c r="MH1" s="22" t="s">
        <v>382</v>
      </c>
      <c r="MI1" s="22" t="s">
        <v>383</v>
      </c>
      <c r="MJ1" s="22" t="s">
        <v>384</v>
      </c>
      <c r="MK1" s="22" t="s">
        <v>385</v>
      </c>
      <c r="ML1" s="22" t="s">
        <v>386</v>
      </c>
      <c r="MM1" s="22" t="s">
        <v>387</v>
      </c>
      <c r="MN1" s="22" t="s">
        <v>388</v>
      </c>
      <c r="MO1" s="22" t="s">
        <v>389</v>
      </c>
      <c r="MP1" s="22" t="s">
        <v>390</v>
      </c>
      <c r="MQ1" s="22" t="s">
        <v>391</v>
      </c>
      <c r="MR1" s="22" t="s">
        <v>392</v>
      </c>
      <c r="MS1" s="22" t="s">
        <v>393</v>
      </c>
      <c r="MT1" s="22" t="s">
        <v>394</v>
      </c>
      <c r="MU1" s="22" t="s">
        <v>395</v>
      </c>
      <c r="MV1" s="22" t="s">
        <v>396</v>
      </c>
      <c r="MW1" s="22" t="s">
        <v>397</v>
      </c>
      <c r="MX1" s="22" t="s">
        <v>398</v>
      </c>
      <c r="MY1" s="22" t="s">
        <v>399</v>
      </c>
      <c r="MZ1" s="22" t="s">
        <v>400</v>
      </c>
      <c r="NA1" s="22" t="s">
        <v>401</v>
      </c>
      <c r="NB1" s="22" t="s">
        <v>402</v>
      </c>
      <c r="NC1" s="22" t="s">
        <v>403</v>
      </c>
      <c r="ND1" s="22" t="s">
        <v>404</v>
      </c>
      <c r="NE1" s="22" t="s">
        <v>405</v>
      </c>
      <c r="NF1" s="22" t="s">
        <v>406</v>
      </c>
      <c r="NG1" s="22" t="s">
        <v>407</v>
      </c>
      <c r="NH1" s="22" t="s">
        <v>408</v>
      </c>
      <c r="NI1" s="22" t="s">
        <v>409</v>
      </c>
      <c r="NJ1" s="22" t="s">
        <v>410</v>
      </c>
      <c r="NK1" s="22" t="s">
        <v>411</v>
      </c>
      <c r="NL1" s="22" t="s">
        <v>412</v>
      </c>
      <c r="NM1" s="22" t="s">
        <v>413</v>
      </c>
      <c r="NN1" s="22" t="s">
        <v>414</v>
      </c>
      <c r="NO1" s="22" t="s">
        <v>415</v>
      </c>
      <c r="NP1" s="22" t="s">
        <v>416</v>
      </c>
      <c r="NQ1" s="22" t="s">
        <v>417</v>
      </c>
      <c r="NR1" s="22" t="s">
        <v>418</v>
      </c>
      <c r="NS1" s="22" t="s">
        <v>419</v>
      </c>
      <c r="NT1" s="22" t="s">
        <v>420</v>
      </c>
      <c r="NU1" s="22" t="s">
        <v>421</v>
      </c>
      <c r="NV1" s="22" t="s">
        <v>422</v>
      </c>
      <c r="NW1" s="22" t="s">
        <v>423</v>
      </c>
      <c r="NX1" s="22" t="s">
        <v>424</v>
      </c>
      <c r="NY1" s="22" t="s">
        <v>425</v>
      </c>
      <c r="NZ1" s="22" t="s">
        <v>426</v>
      </c>
      <c r="OA1" s="22" t="s">
        <v>427</v>
      </c>
      <c r="OB1" s="22" t="s">
        <v>428</v>
      </c>
      <c r="OC1" s="22" t="s">
        <v>429</v>
      </c>
      <c r="OD1" s="22" t="s">
        <v>430</v>
      </c>
      <c r="OE1" s="22" t="s">
        <v>431</v>
      </c>
      <c r="OF1" s="22" t="s">
        <v>432</v>
      </c>
      <c r="OG1" s="22" t="s">
        <v>433</v>
      </c>
      <c r="OH1" s="22" t="s">
        <v>434</v>
      </c>
      <c r="OI1" s="22" t="s">
        <v>435</v>
      </c>
      <c r="OJ1" s="22" t="s">
        <v>436</v>
      </c>
      <c r="OK1" s="22" t="s">
        <v>437</v>
      </c>
      <c r="OL1" s="22" t="s">
        <v>438</v>
      </c>
      <c r="OM1" s="22" t="s">
        <v>439</v>
      </c>
      <c r="ON1" s="22" t="s">
        <v>440</v>
      </c>
      <c r="OO1" s="22" t="s">
        <v>441</v>
      </c>
      <c r="OP1" s="22" t="s">
        <v>442</v>
      </c>
      <c r="OQ1" s="22" t="s">
        <v>443</v>
      </c>
      <c r="OR1" s="22" t="s">
        <v>444</v>
      </c>
      <c r="OS1" s="22" t="s">
        <v>445</v>
      </c>
      <c r="OT1" s="22" t="s">
        <v>446</v>
      </c>
      <c r="OU1" s="22" t="s">
        <v>447</v>
      </c>
      <c r="OV1" s="22" t="s">
        <v>448</v>
      </c>
      <c r="OW1" s="22" t="s">
        <v>449</v>
      </c>
      <c r="OX1" s="22" t="s">
        <v>450</v>
      </c>
      <c r="OY1" s="22" t="s">
        <v>451</v>
      </c>
      <c r="OZ1" s="22" t="s">
        <v>452</v>
      </c>
      <c r="PA1" s="22" t="s">
        <v>453</v>
      </c>
      <c r="PB1" s="22" t="s">
        <v>454</v>
      </c>
      <c r="PC1" s="22" t="s">
        <v>455</v>
      </c>
      <c r="PD1" s="22" t="s">
        <v>456</v>
      </c>
      <c r="PE1" s="22" t="s">
        <v>457</v>
      </c>
      <c r="PF1" s="22" t="s">
        <v>458</v>
      </c>
      <c r="PG1" s="22" t="s">
        <v>459</v>
      </c>
      <c r="PH1" s="22" t="s">
        <v>460</v>
      </c>
      <c r="PI1" s="22" t="s">
        <v>461</v>
      </c>
      <c r="PJ1" s="22" t="s">
        <v>462</v>
      </c>
      <c r="PK1" s="22" t="s">
        <v>463</v>
      </c>
      <c r="PL1" s="22" t="s">
        <v>464</v>
      </c>
      <c r="PM1" s="22" t="s">
        <v>465</v>
      </c>
      <c r="PN1" s="22" t="s">
        <v>466</v>
      </c>
      <c r="PO1" s="22" t="s">
        <v>467</v>
      </c>
      <c r="PP1" s="22" t="s">
        <v>468</v>
      </c>
      <c r="PQ1" s="22" t="s">
        <v>469</v>
      </c>
      <c r="PR1" s="22" t="s">
        <v>470</v>
      </c>
      <c r="PS1" s="22" t="s">
        <v>471</v>
      </c>
      <c r="PT1" s="22" t="s">
        <v>472</v>
      </c>
      <c r="PU1" s="22" t="s">
        <v>473</v>
      </c>
      <c r="PV1" s="22" t="s">
        <v>474</v>
      </c>
      <c r="PW1" s="22" t="s">
        <v>475</v>
      </c>
      <c r="PX1" s="22" t="s">
        <v>476</v>
      </c>
      <c r="PY1" s="22" t="s">
        <v>477</v>
      </c>
      <c r="PZ1" s="22" t="s">
        <v>478</v>
      </c>
      <c r="QA1" s="22" t="s">
        <v>479</v>
      </c>
      <c r="QB1" s="22" t="s">
        <v>480</v>
      </c>
      <c r="QC1" s="22" t="s">
        <v>481</v>
      </c>
      <c r="QD1" s="22" t="s">
        <v>482</v>
      </c>
      <c r="QE1" s="22" t="s">
        <v>483</v>
      </c>
      <c r="QF1" s="22" t="s">
        <v>484</v>
      </c>
      <c r="QG1" s="22" t="s">
        <v>485</v>
      </c>
      <c r="QH1" s="22" t="s">
        <v>486</v>
      </c>
      <c r="QI1" s="22" t="s">
        <v>487</v>
      </c>
      <c r="QJ1" s="22" t="s">
        <v>488</v>
      </c>
      <c r="QK1" s="22" t="s">
        <v>489</v>
      </c>
      <c r="QL1" s="22" t="s">
        <v>490</v>
      </c>
      <c r="QM1" s="22" t="s">
        <v>491</v>
      </c>
      <c r="QN1" s="22" t="s">
        <v>492</v>
      </c>
      <c r="QO1" s="22" t="s">
        <v>493</v>
      </c>
      <c r="QP1" s="22" t="s">
        <v>494</v>
      </c>
      <c r="QQ1" s="22" t="s">
        <v>495</v>
      </c>
      <c r="QR1" s="22" t="s">
        <v>496</v>
      </c>
      <c r="QS1" s="22" t="s">
        <v>497</v>
      </c>
      <c r="QT1" s="22" t="s">
        <v>498</v>
      </c>
      <c r="QU1" s="22" t="s">
        <v>499</v>
      </c>
      <c r="QV1" s="22" t="s">
        <v>500</v>
      </c>
      <c r="QW1" s="22" t="s">
        <v>501</v>
      </c>
      <c r="QX1" s="22" t="s">
        <v>502</v>
      </c>
      <c r="QY1" s="22" t="s">
        <v>503</v>
      </c>
      <c r="QZ1" s="22" t="s">
        <v>504</v>
      </c>
      <c r="RA1" s="22" t="s">
        <v>505</v>
      </c>
      <c r="RB1" s="22" t="s">
        <v>506</v>
      </c>
      <c r="RC1" s="22" t="s">
        <v>507</v>
      </c>
      <c r="RD1" s="22" t="s">
        <v>508</v>
      </c>
      <c r="RE1" s="22" t="s">
        <v>509</v>
      </c>
      <c r="RF1" s="22" t="s">
        <v>510</v>
      </c>
      <c r="RG1" s="22" t="s">
        <v>511</v>
      </c>
      <c r="RH1" s="22" t="s">
        <v>512</v>
      </c>
      <c r="RI1" s="22" t="s">
        <v>513</v>
      </c>
      <c r="RJ1" s="22" t="s">
        <v>514</v>
      </c>
      <c r="RK1" s="22" t="s">
        <v>515</v>
      </c>
      <c r="RL1" s="22" t="s">
        <v>516</v>
      </c>
      <c r="RM1" s="22" t="s">
        <v>517</v>
      </c>
      <c r="RN1" s="22" t="s">
        <v>518</v>
      </c>
      <c r="RO1" s="22" t="s">
        <v>519</v>
      </c>
      <c r="RP1" s="22" t="s">
        <v>520</v>
      </c>
      <c r="RQ1" s="22" t="s">
        <v>521</v>
      </c>
      <c r="RR1" s="22" t="s">
        <v>522</v>
      </c>
      <c r="RS1" s="22" t="s">
        <v>523</v>
      </c>
      <c r="RT1" s="22" t="s">
        <v>524</v>
      </c>
      <c r="RU1" s="22" t="s">
        <v>525</v>
      </c>
      <c r="RV1" s="22" t="s">
        <v>526</v>
      </c>
      <c r="RW1" s="22" t="s">
        <v>527</v>
      </c>
      <c r="RX1" s="22" t="s">
        <v>528</v>
      </c>
      <c r="RY1" s="22" t="s">
        <v>529</v>
      </c>
      <c r="RZ1" s="22" t="s">
        <v>530</v>
      </c>
      <c r="SA1" s="22" t="s">
        <v>531</v>
      </c>
      <c r="SB1" s="22" t="s">
        <v>532</v>
      </c>
      <c r="SC1" s="22" t="s">
        <v>533</v>
      </c>
      <c r="SD1" s="22" t="s">
        <v>534</v>
      </c>
      <c r="SE1" s="22" t="s">
        <v>535</v>
      </c>
      <c r="SF1" s="22" t="s">
        <v>536</v>
      </c>
      <c r="SG1" s="22" t="s">
        <v>537</v>
      </c>
      <c r="SH1" s="22" t="s">
        <v>538</v>
      </c>
      <c r="SI1" s="22" t="s">
        <v>539</v>
      </c>
      <c r="SJ1" s="22" t="s">
        <v>540</v>
      </c>
      <c r="SK1" s="22" t="s">
        <v>541</v>
      </c>
      <c r="SL1" s="22" t="s">
        <v>542</v>
      </c>
      <c r="SM1" s="22" t="s">
        <v>543</v>
      </c>
      <c r="SN1" s="22" t="s">
        <v>544</v>
      </c>
      <c r="SO1" s="22" t="s">
        <v>545</v>
      </c>
      <c r="SP1" s="22" t="s">
        <v>546</v>
      </c>
      <c r="SQ1" s="22" t="s">
        <v>547</v>
      </c>
      <c r="SR1" s="22" t="s">
        <v>548</v>
      </c>
      <c r="SS1" s="22" t="s">
        <v>549</v>
      </c>
      <c r="ST1" s="22" t="s">
        <v>550</v>
      </c>
      <c r="SU1" s="22" t="s">
        <v>551</v>
      </c>
      <c r="SV1" s="22" t="s">
        <v>552</v>
      </c>
      <c r="SW1" s="22" t="s">
        <v>553</v>
      </c>
      <c r="SX1" s="22" t="s">
        <v>554</v>
      </c>
      <c r="SY1" s="22" t="s">
        <v>555</v>
      </c>
      <c r="SZ1" s="22" t="s">
        <v>556</v>
      </c>
      <c r="TA1" s="22" t="s">
        <v>557</v>
      </c>
      <c r="TB1" s="22" t="s">
        <v>558</v>
      </c>
      <c r="TC1" s="22" t="s">
        <v>559</v>
      </c>
      <c r="TD1" s="22" t="s">
        <v>560</v>
      </c>
      <c r="TE1" s="22" t="s">
        <v>561</v>
      </c>
      <c r="TF1" s="22" t="s">
        <v>562</v>
      </c>
      <c r="TG1" s="22" t="s">
        <v>563</v>
      </c>
      <c r="TH1" s="22" t="s">
        <v>564</v>
      </c>
      <c r="TI1" s="22" t="s">
        <v>565</v>
      </c>
      <c r="TJ1" s="22" t="s">
        <v>566</v>
      </c>
      <c r="TK1" s="22" t="s">
        <v>567</v>
      </c>
      <c r="TL1" s="22" t="s">
        <v>568</v>
      </c>
      <c r="TM1" s="22" t="s">
        <v>569</v>
      </c>
      <c r="TN1" s="22" t="s">
        <v>570</v>
      </c>
      <c r="TO1" s="22" t="s">
        <v>571</v>
      </c>
      <c r="TP1" s="22" t="s">
        <v>572</v>
      </c>
      <c r="TQ1" s="22" t="s">
        <v>573</v>
      </c>
      <c r="TR1" s="22" t="s">
        <v>574</v>
      </c>
      <c r="TS1" s="22" t="s">
        <v>575</v>
      </c>
      <c r="TT1" s="22" t="s">
        <v>576</v>
      </c>
      <c r="TU1" s="22" t="s">
        <v>577</v>
      </c>
      <c r="TV1" s="22" t="s">
        <v>578</v>
      </c>
      <c r="TW1" s="22" t="s">
        <v>579</v>
      </c>
      <c r="TX1" s="22" t="s">
        <v>580</v>
      </c>
      <c r="TY1" s="22" t="s">
        <v>581</v>
      </c>
      <c r="TZ1" s="22" t="s">
        <v>582</v>
      </c>
      <c r="UA1" s="22" t="s">
        <v>583</v>
      </c>
      <c r="UB1" s="22" t="s">
        <v>584</v>
      </c>
      <c r="UC1" s="22" t="s">
        <v>585</v>
      </c>
      <c r="UD1" s="22" t="s">
        <v>586</v>
      </c>
      <c r="UE1" s="22" t="s">
        <v>587</v>
      </c>
      <c r="UF1" s="22" t="s">
        <v>588</v>
      </c>
      <c r="UG1" s="22" t="s">
        <v>589</v>
      </c>
      <c r="UH1" s="22" t="s">
        <v>590</v>
      </c>
      <c r="UI1" s="22" t="s">
        <v>591</v>
      </c>
      <c r="UJ1" s="22" t="s">
        <v>592</v>
      </c>
      <c r="UK1" s="22" t="s">
        <v>593</v>
      </c>
      <c r="UL1" s="22" t="s">
        <v>594</v>
      </c>
      <c r="UM1" s="22" t="s">
        <v>595</v>
      </c>
      <c r="UN1" s="22" t="s">
        <v>596</v>
      </c>
      <c r="UO1" s="22" t="s">
        <v>597</v>
      </c>
      <c r="UP1" s="22" t="s">
        <v>598</v>
      </c>
      <c r="UQ1" s="22" t="s">
        <v>599</v>
      </c>
      <c r="UR1" s="22" t="s">
        <v>600</v>
      </c>
      <c r="US1" s="22" t="s">
        <v>601</v>
      </c>
      <c r="UT1" s="22" t="s">
        <v>602</v>
      </c>
      <c r="UU1" s="22" t="s">
        <v>603</v>
      </c>
      <c r="UV1" s="22" t="s">
        <v>604</v>
      </c>
      <c r="UW1" s="22" t="s">
        <v>605</v>
      </c>
      <c r="UX1" s="22" t="s">
        <v>606</v>
      </c>
      <c r="UY1" s="22" t="s">
        <v>607</v>
      </c>
      <c r="UZ1" s="22" t="s">
        <v>608</v>
      </c>
      <c r="VA1" s="22" t="s">
        <v>609</v>
      </c>
      <c r="VB1" s="22" t="s">
        <v>610</v>
      </c>
      <c r="VC1" s="22" t="s">
        <v>611</v>
      </c>
      <c r="VD1" s="22" t="s">
        <v>612</v>
      </c>
      <c r="VE1" s="22" t="s">
        <v>613</v>
      </c>
      <c r="VF1" s="22" t="s">
        <v>614</v>
      </c>
      <c r="VG1" s="22" t="s">
        <v>615</v>
      </c>
      <c r="VH1" s="22" t="s">
        <v>616</v>
      </c>
      <c r="VI1" s="22" t="s">
        <v>617</v>
      </c>
      <c r="VJ1" s="22" t="s">
        <v>618</v>
      </c>
      <c r="VK1" s="22" t="s">
        <v>619</v>
      </c>
      <c r="VL1" s="22" t="s">
        <v>620</v>
      </c>
      <c r="VM1" s="22" t="s">
        <v>621</v>
      </c>
      <c r="VN1" s="22" t="s">
        <v>622</v>
      </c>
      <c r="VO1" s="22" t="s">
        <v>623</v>
      </c>
      <c r="VP1" s="22" t="s">
        <v>624</v>
      </c>
      <c r="VQ1" s="22" t="s">
        <v>625</v>
      </c>
      <c r="VR1" s="22" t="s">
        <v>626</v>
      </c>
      <c r="VS1" s="22" t="s">
        <v>627</v>
      </c>
      <c r="VT1" s="22" t="s">
        <v>628</v>
      </c>
      <c r="VU1" s="22" t="s">
        <v>629</v>
      </c>
      <c r="VV1" s="22" t="s">
        <v>630</v>
      </c>
      <c r="VW1" s="22" t="s">
        <v>631</v>
      </c>
      <c r="VX1" s="22" t="s">
        <v>632</v>
      </c>
      <c r="VY1" s="22" t="s">
        <v>633</v>
      </c>
      <c r="VZ1" s="22" t="s">
        <v>634</v>
      </c>
      <c r="WA1" s="22" t="s">
        <v>635</v>
      </c>
      <c r="WB1" s="22" t="s">
        <v>636</v>
      </c>
      <c r="WC1" s="22" t="s">
        <v>637</v>
      </c>
      <c r="WD1" s="22" t="s">
        <v>638</v>
      </c>
      <c r="WE1" s="22" t="s">
        <v>639</v>
      </c>
      <c r="WF1" s="22" t="s">
        <v>640</v>
      </c>
      <c r="WG1" s="22" t="s">
        <v>641</v>
      </c>
      <c r="WH1" s="22" t="s">
        <v>642</v>
      </c>
      <c r="WI1" s="22" t="s">
        <v>643</v>
      </c>
      <c r="WJ1" s="22" t="s">
        <v>644</v>
      </c>
      <c r="WK1" s="22" t="s">
        <v>645</v>
      </c>
      <c r="WL1" s="22" t="s">
        <v>646</v>
      </c>
      <c r="WM1" s="22" t="s">
        <v>647</v>
      </c>
      <c r="WN1" s="22" t="s">
        <v>648</v>
      </c>
      <c r="WO1" s="22" t="s">
        <v>649</v>
      </c>
      <c r="WP1" s="22" t="s">
        <v>650</v>
      </c>
      <c r="WQ1" s="22" t="s">
        <v>651</v>
      </c>
      <c r="WR1" s="22" t="s">
        <v>652</v>
      </c>
      <c r="WS1" s="22" t="s">
        <v>653</v>
      </c>
      <c r="WT1" s="22" t="s">
        <v>654</v>
      </c>
      <c r="WU1" s="22" t="s">
        <v>655</v>
      </c>
      <c r="WV1" s="22" t="s">
        <v>656</v>
      </c>
      <c r="WW1" s="22" t="s">
        <v>657</v>
      </c>
      <c r="WX1" s="22" t="s">
        <v>658</v>
      </c>
      <c r="WY1" s="22" t="s">
        <v>659</v>
      </c>
      <c r="WZ1" s="22" t="s">
        <v>660</v>
      </c>
      <c r="XA1" s="22" t="s">
        <v>661</v>
      </c>
      <c r="XB1" s="22" t="s">
        <v>662</v>
      </c>
      <c r="XC1" s="22" t="s">
        <v>663</v>
      </c>
      <c r="XD1" s="22" t="s">
        <v>664</v>
      </c>
      <c r="XE1" s="22" t="s">
        <v>665</v>
      </c>
      <c r="XF1" s="22" t="s">
        <v>666</v>
      </c>
      <c r="XG1" s="22" t="s">
        <v>667</v>
      </c>
      <c r="XH1" s="22" t="s">
        <v>668</v>
      </c>
      <c r="XI1" s="22" t="s">
        <v>669</v>
      </c>
      <c r="XJ1" s="22" t="s">
        <v>670</v>
      </c>
      <c r="XK1" s="22" t="s">
        <v>671</v>
      </c>
      <c r="XL1" s="22" t="s">
        <v>672</v>
      </c>
      <c r="XM1" s="22" t="s">
        <v>673</v>
      </c>
      <c r="XN1" s="22" t="s">
        <v>674</v>
      </c>
      <c r="XO1" s="22" t="s">
        <v>675</v>
      </c>
      <c r="XP1" s="22" t="s">
        <v>676</v>
      </c>
      <c r="XQ1" s="22" t="s">
        <v>677</v>
      </c>
      <c r="XR1" s="22" t="s">
        <v>678</v>
      </c>
      <c r="XS1" s="22" t="s">
        <v>679</v>
      </c>
      <c r="XT1" s="22" t="s">
        <v>680</v>
      </c>
      <c r="XU1" s="22" t="s">
        <v>681</v>
      </c>
      <c r="XV1" s="22" t="s">
        <v>682</v>
      </c>
      <c r="XW1" s="22" t="s">
        <v>683</v>
      </c>
      <c r="XX1" s="22" t="s">
        <v>684</v>
      </c>
      <c r="XY1" s="22" t="s">
        <v>685</v>
      </c>
      <c r="XZ1" s="22" t="s">
        <v>686</v>
      </c>
      <c r="YA1" s="22" t="s">
        <v>687</v>
      </c>
      <c r="YB1" s="22" t="s">
        <v>688</v>
      </c>
      <c r="YC1" s="22" t="s">
        <v>689</v>
      </c>
      <c r="YD1" s="22" t="s">
        <v>690</v>
      </c>
      <c r="YE1" s="22" t="s">
        <v>691</v>
      </c>
      <c r="YF1" s="22" t="s">
        <v>692</v>
      </c>
      <c r="YG1" s="22" t="s">
        <v>693</v>
      </c>
      <c r="YH1" s="22" t="s">
        <v>694</v>
      </c>
      <c r="YI1" s="22" t="s">
        <v>695</v>
      </c>
      <c r="YJ1" s="22" t="s">
        <v>696</v>
      </c>
      <c r="YK1" s="22" t="s">
        <v>697</v>
      </c>
      <c r="YL1" s="22" t="s">
        <v>698</v>
      </c>
      <c r="YM1" s="22" t="s">
        <v>699</v>
      </c>
      <c r="YN1" s="22" t="s">
        <v>700</v>
      </c>
      <c r="YO1" s="22" t="s">
        <v>701</v>
      </c>
      <c r="YP1" s="22" t="s">
        <v>702</v>
      </c>
      <c r="YQ1" s="22" t="s">
        <v>703</v>
      </c>
      <c r="YR1" s="22" t="s">
        <v>704</v>
      </c>
      <c r="YS1" s="22" t="s">
        <v>705</v>
      </c>
      <c r="YT1" s="22" t="s">
        <v>706</v>
      </c>
      <c r="YU1" s="22" t="s">
        <v>707</v>
      </c>
      <c r="YV1" s="22" t="s">
        <v>708</v>
      </c>
      <c r="YW1" s="22" t="s">
        <v>709</v>
      </c>
      <c r="YX1" s="22" t="s">
        <v>710</v>
      </c>
      <c r="YY1" s="22" t="s">
        <v>711</v>
      </c>
      <c r="YZ1" s="22" t="s">
        <v>712</v>
      </c>
      <c r="ZA1" s="22" t="s">
        <v>713</v>
      </c>
      <c r="ZB1" s="22" t="s">
        <v>714</v>
      </c>
      <c r="ZC1" s="22" t="s">
        <v>715</v>
      </c>
      <c r="ZD1" s="22" t="s">
        <v>716</v>
      </c>
      <c r="ZE1" s="22" t="s">
        <v>717</v>
      </c>
      <c r="ZF1" s="22" t="s">
        <v>718</v>
      </c>
      <c r="ZG1" s="22" t="s">
        <v>719</v>
      </c>
      <c r="ZH1" s="22" t="s">
        <v>720</v>
      </c>
      <c r="ZI1" s="22" t="s">
        <v>721</v>
      </c>
      <c r="ZJ1" s="22" t="s">
        <v>722</v>
      </c>
      <c r="ZK1" s="22" t="s">
        <v>723</v>
      </c>
      <c r="ZL1" s="22" t="s">
        <v>724</v>
      </c>
      <c r="ZM1" s="22" t="s">
        <v>725</v>
      </c>
      <c r="ZN1" s="22" t="s">
        <v>726</v>
      </c>
      <c r="ZO1" s="22" t="s">
        <v>727</v>
      </c>
      <c r="ZP1" s="22" t="s">
        <v>728</v>
      </c>
      <c r="ZQ1" s="22" t="s">
        <v>729</v>
      </c>
      <c r="ZR1" s="22" t="s">
        <v>730</v>
      </c>
      <c r="ZS1" s="22" t="s">
        <v>731</v>
      </c>
      <c r="ZT1" s="22" t="s">
        <v>732</v>
      </c>
      <c r="ZU1" s="22" t="s">
        <v>733</v>
      </c>
      <c r="ZV1" s="22" t="s">
        <v>734</v>
      </c>
      <c r="ZW1" s="22" t="s">
        <v>735</v>
      </c>
      <c r="ZX1" s="22" t="s">
        <v>736</v>
      </c>
      <c r="ZY1" s="22" t="s">
        <v>737</v>
      </c>
      <c r="ZZ1" s="22" t="s">
        <v>738</v>
      </c>
      <c r="AAA1" s="22" t="s">
        <v>739</v>
      </c>
      <c r="AAB1" s="22" t="s">
        <v>740</v>
      </c>
      <c r="AAC1" s="22" t="s">
        <v>741</v>
      </c>
      <c r="AAD1" s="22" t="s">
        <v>742</v>
      </c>
      <c r="AAE1" s="22" t="s">
        <v>743</v>
      </c>
      <c r="AAF1" s="22" t="s">
        <v>744</v>
      </c>
      <c r="AAG1" s="22" t="s">
        <v>745</v>
      </c>
      <c r="AAH1" s="22" t="s">
        <v>746</v>
      </c>
      <c r="AAI1" s="22" t="s">
        <v>747</v>
      </c>
      <c r="AAJ1" s="22" t="s">
        <v>748</v>
      </c>
      <c r="AAK1" s="22" t="s">
        <v>749</v>
      </c>
      <c r="AAL1" s="22" t="s">
        <v>750</v>
      </c>
      <c r="AAM1" s="22" t="s">
        <v>751</v>
      </c>
      <c r="AAN1" s="22" t="s">
        <v>752</v>
      </c>
      <c r="AAO1" s="22" t="s">
        <v>753</v>
      </c>
      <c r="AAP1" s="22" t="s">
        <v>754</v>
      </c>
      <c r="AAQ1" s="22" t="s">
        <v>755</v>
      </c>
      <c r="AAR1" s="22" t="s">
        <v>756</v>
      </c>
      <c r="AAS1" s="22" t="s">
        <v>757</v>
      </c>
      <c r="AAT1" s="22" t="s">
        <v>758</v>
      </c>
      <c r="AAU1" s="22" t="s">
        <v>759</v>
      </c>
      <c r="AAV1" s="22" t="s">
        <v>760</v>
      </c>
    </row>
    <row r="2" spans="1:724" x14ac:dyDescent="0.3">
      <c r="A2" s="22">
        <v>1</v>
      </c>
      <c r="B2" s="22">
        <v>1</v>
      </c>
      <c r="C2" s="23">
        <v>44414.663936458332</v>
      </c>
      <c r="D2" s="23">
        <v>44379.575861805555</v>
      </c>
      <c r="E2" s="22" t="s">
        <v>761</v>
      </c>
      <c r="J2" s="22" t="s">
        <v>762</v>
      </c>
      <c r="K2" s="22" t="s">
        <v>763</v>
      </c>
      <c r="T2" s="22" t="s">
        <v>764</v>
      </c>
      <c r="U2" s="22" t="s">
        <v>765</v>
      </c>
      <c r="V2" s="22" t="s">
        <v>766</v>
      </c>
      <c r="W2" s="22" t="s">
        <v>766</v>
      </c>
      <c r="X2" s="22" t="s">
        <v>767</v>
      </c>
      <c r="Y2" s="22">
        <v>1</v>
      </c>
      <c r="Z2" s="22">
        <v>2</v>
      </c>
      <c r="AA2" s="22">
        <v>3</v>
      </c>
      <c r="AB2" s="22">
        <v>1</v>
      </c>
      <c r="AC2" s="22">
        <v>2</v>
      </c>
      <c r="AD2" s="22">
        <v>1</v>
      </c>
      <c r="AE2" s="22">
        <v>2</v>
      </c>
      <c r="AF2" s="22" t="s">
        <v>768</v>
      </c>
      <c r="AG2" s="22" t="s">
        <v>768</v>
      </c>
      <c r="AH2" s="22" t="s">
        <v>768</v>
      </c>
      <c r="AI2" s="22" t="s">
        <v>768</v>
      </c>
      <c r="AJ2" s="22" t="s">
        <v>768</v>
      </c>
      <c r="AK2" s="22" t="s">
        <v>768</v>
      </c>
      <c r="AL2" s="22" t="s">
        <v>768</v>
      </c>
      <c r="AM2" s="22">
        <v>1</v>
      </c>
      <c r="AN2" s="22">
        <v>2</v>
      </c>
      <c r="AO2" s="22">
        <v>3</v>
      </c>
      <c r="AP2" s="22">
        <v>1</v>
      </c>
      <c r="AQ2" s="22">
        <v>2</v>
      </c>
      <c r="AR2" s="22">
        <v>1</v>
      </c>
      <c r="AS2" s="22">
        <v>2</v>
      </c>
      <c r="AT2" s="22">
        <v>3</v>
      </c>
      <c r="AU2" s="22">
        <v>1</v>
      </c>
      <c r="AV2" s="22" t="s">
        <v>768</v>
      </c>
      <c r="AW2" s="22" t="s">
        <v>768</v>
      </c>
      <c r="AX2" s="22" t="s">
        <v>768</v>
      </c>
      <c r="AY2" s="22" t="s">
        <v>768</v>
      </c>
      <c r="AZ2" s="22" t="s">
        <v>768</v>
      </c>
      <c r="BA2" s="22" t="s">
        <v>768</v>
      </c>
      <c r="BB2" s="22" t="s">
        <v>768</v>
      </c>
      <c r="BC2" s="22" t="s">
        <v>768</v>
      </c>
      <c r="BD2" s="22" t="s">
        <v>768</v>
      </c>
      <c r="BE2" s="22">
        <v>1</v>
      </c>
      <c r="BF2" s="22">
        <v>2</v>
      </c>
      <c r="BG2" s="22">
        <v>1</v>
      </c>
      <c r="BH2" s="22">
        <v>2</v>
      </c>
      <c r="BI2" s="22">
        <v>2</v>
      </c>
      <c r="BJ2" s="22">
        <v>3</v>
      </c>
      <c r="BK2" s="22">
        <v>1</v>
      </c>
      <c r="BL2" s="22" t="s">
        <v>768</v>
      </c>
      <c r="BM2" s="22" t="s">
        <v>768</v>
      </c>
      <c r="BN2" s="22" t="s">
        <v>768</v>
      </c>
      <c r="BO2" s="22" t="s">
        <v>768</v>
      </c>
      <c r="BP2" s="22" t="s">
        <v>768</v>
      </c>
      <c r="BQ2" s="22" t="s">
        <v>768</v>
      </c>
      <c r="BR2" s="22" t="s">
        <v>768</v>
      </c>
      <c r="BT2" s="22">
        <v>1</v>
      </c>
      <c r="BU2" s="22">
        <v>2</v>
      </c>
      <c r="BV2" s="22">
        <v>3</v>
      </c>
      <c r="BW2" s="22" t="s">
        <v>768</v>
      </c>
      <c r="BX2" s="22" t="s">
        <v>768</v>
      </c>
      <c r="BY2" s="22" t="s">
        <v>768</v>
      </c>
      <c r="BZ2" s="22" t="s">
        <v>768</v>
      </c>
      <c r="CA2" s="22" t="s">
        <v>768</v>
      </c>
      <c r="CB2" s="22" t="s">
        <v>768</v>
      </c>
      <c r="CC2" s="22" t="s">
        <v>768</v>
      </c>
      <c r="CN2" s="22" t="s">
        <v>768</v>
      </c>
      <c r="CO2" s="22" t="s">
        <v>768</v>
      </c>
      <c r="CP2" s="22" t="s">
        <v>768</v>
      </c>
      <c r="CQ2" s="22" t="s">
        <v>768</v>
      </c>
      <c r="CR2" s="22" t="s">
        <v>768</v>
      </c>
      <c r="CS2" s="22" t="s">
        <v>768</v>
      </c>
      <c r="CT2" s="22" t="s">
        <v>768</v>
      </c>
      <c r="CU2" s="22" t="s">
        <v>768</v>
      </c>
      <c r="CV2" s="22" t="s">
        <v>768</v>
      </c>
      <c r="CW2" s="22" t="s">
        <v>768</v>
      </c>
      <c r="CX2" s="22" t="s">
        <v>768</v>
      </c>
      <c r="CY2" s="22" t="s">
        <v>768</v>
      </c>
      <c r="CZ2" s="22" t="s">
        <v>768</v>
      </c>
      <c r="DI2" s="22" t="s">
        <v>768</v>
      </c>
      <c r="DJ2" s="22" t="s">
        <v>768</v>
      </c>
      <c r="DK2" s="22" t="s">
        <v>768</v>
      </c>
      <c r="DL2" s="22" t="s">
        <v>768</v>
      </c>
      <c r="DM2" s="22" t="s">
        <v>768</v>
      </c>
      <c r="DN2" s="22" t="s">
        <v>768</v>
      </c>
      <c r="DO2" s="22" t="s">
        <v>768</v>
      </c>
      <c r="DP2" s="22" t="s">
        <v>768</v>
      </c>
      <c r="DQ2" s="22" t="s">
        <v>768</v>
      </c>
      <c r="DR2" s="22" t="s">
        <v>768</v>
      </c>
      <c r="DS2" s="22" t="s">
        <v>768</v>
      </c>
      <c r="ED2" s="22" t="s">
        <v>768</v>
      </c>
      <c r="EE2" s="22" t="s">
        <v>768</v>
      </c>
      <c r="EF2" s="22" t="s">
        <v>768</v>
      </c>
      <c r="EG2" s="22" t="s">
        <v>768</v>
      </c>
      <c r="EH2" s="22" t="s">
        <v>768</v>
      </c>
      <c r="EI2" s="22" t="s">
        <v>768</v>
      </c>
      <c r="EJ2" s="22" t="s">
        <v>768</v>
      </c>
      <c r="EK2" s="22" t="s">
        <v>768</v>
      </c>
      <c r="EL2" s="22" t="s">
        <v>768</v>
      </c>
      <c r="EM2" s="22" t="s">
        <v>768</v>
      </c>
      <c r="EN2" s="22" t="s">
        <v>768</v>
      </c>
      <c r="EO2" s="22" t="s">
        <v>768</v>
      </c>
      <c r="EP2" s="22" t="s">
        <v>768</v>
      </c>
      <c r="FA2" s="22" t="s">
        <v>768</v>
      </c>
      <c r="FB2" s="22" t="s">
        <v>768</v>
      </c>
      <c r="FC2" s="22" t="s">
        <v>768</v>
      </c>
      <c r="FD2" s="22" t="s">
        <v>768</v>
      </c>
      <c r="FE2" s="22" t="s">
        <v>768</v>
      </c>
      <c r="FF2" s="22" t="s">
        <v>768</v>
      </c>
      <c r="FG2" s="22" t="s">
        <v>768</v>
      </c>
      <c r="FH2" s="22" t="s">
        <v>768</v>
      </c>
      <c r="FI2" s="22" t="s">
        <v>768</v>
      </c>
      <c r="FJ2" s="22" t="s">
        <v>768</v>
      </c>
      <c r="FK2" s="22" t="s">
        <v>768</v>
      </c>
      <c r="FL2" s="22" t="s">
        <v>768</v>
      </c>
      <c r="FM2" s="22" t="s">
        <v>768</v>
      </c>
      <c r="FY2" s="22" t="s">
        <v>768</v>
      </c>
      <c r="FZ2" s="22" t="s">
        <v>768</v>
      </c>
      <c r="GA2" s="22" t="s">
        <v>768</v>
      </c>
      <c r="GB2" s="22" t="s">
        <v>768</v>
      </c>
      <c r="GC2" s="22" t="s">
        <v>768</v>
      </c>
      <c r="GD2" s="22" t="s">
        <v>768</v>
      </c>
      <c r="GE2" s="22" t="s">
        <v>768</v>
      </c>
      <c r="GF2" s="22" t="s">
        <v>768</v>
      </c>
      <c r="GG2" s="22" t="s">
        <v>768</v>
      </c>
      <c r="GH2" s="22" t="s">
        <v>768</v>
      </c>
      <c r="GI2" s="22" t="s">
        <v>768</v>
      </c>
      <c r="GJ2" s="22" t="s">
        <v>768</v>
      </c>
      <c r="GK2" s="22" t="s">
        <v>768</v>
      </c>
      <c r="GL2" s="22" t="s">
        <v>768</v>
      </c>
      <c r="GU2" s="22" t="s">
        <v>768</v>
      </c>
      <c r="GV2" s="22" t="s">
        <v>768</v>
      </c>
      <c r="GW2" s="22" t="s">
        <v>768</v>
      </c>
      <c r="GX2" s="22" t="s">
        <v>768</v>
      </c>
      <c r="GY2" s="22" t="s">
        <v>768</v>
      </c>
      <c r="GZ2" s="22" t="s">
        <v>768</v>
      </c>
      <c r="HA2" s="22" t="s">
        <v>768</v>
      </c>
      <c r="HB2" s="22" t="s">
        <v>768</v>
      </c>
      <c r="HC2" s="22" t="s">
        <v>768</v>
      </c>
      <c r="HD2" s="22" t="s">
        <v>768</v>
      </c>
      <c r="HE2" s="22" t="s">
        <v>768</v>
      </c>
      <c r="HF2" s="22">
        <v>1</v>
      </c>
      <c r="HN2" s="22" t="s">
        <v>768</v>
      </c>
      <c r="HO2" s="22" t="s">
        <v>768</v>
      </c>
      <c r="HP2" s="22" t="s">
        <v>768</v>
      </c>
      <c r="HQ2" s="22" t="s">
        <v>768</v>
      </c>
      <c r="HR2" s="22" t="s">
        <v>768</v>
      </c>
      <c r="HS2" s="22" t="s">
        <v>768</v>
      </c>
      <c r="HT2" s="22" t="s">
        <v>768</v>
      </c>
      <c r="HU2" s="22" t="s">
        <v>768</v>
      </c>
      <c r="HV2" s="22" t="s">
        <v>768</v>
      </c>
      <c r="HW2" s="22" t="s">
        <v>768</v>
      </c>
      <c r="HX2" s="22" t="s">
        <v>768</v>
      </c>
      <c r="IG2" s="22" t="s">
        <v>768</v>
      </c>
      <c r="IH2" s="22" t="s">
        <v>768</v>
      </c>
      <c r="II2" s="22" t="s">
        <v>768</v>
      </c>
      <c r="IJ2" s="22" t="s">
        <v>768</v>
      </c>
      <c r="IK2" s="22" t="s">
        <v>768</v>
      </c>
      <c r="IL2" s="22" t="s">
        <v>768</v>
      </c>
      <c r="IM2" s="22" t="s">
        <v>768</v>
      </c>
      <c r="IN2" s="22" t="s">
        <v>768</v>
      </c>
      <c r="IO2" s="22" t="s">
        <v>768</v>
      </c>
      <c r="IP2" s="22" t="s">
        <v>768</v>
      </c>
      <c r="IQ2" s="22" t="s">
        <v>768</v>
      </c>
      <c r="JC2" s="22" t="s">
        <v>768</v>
      </c>
      <c r="JD2" s="22" t="s">
        <v>768</v>
      </c>
      <c r="JE2" s="22" t="s">
        <v>768</v>
      </c>
      <c r="JF2" s="22" t="s">
        <v>768</v>
      </c>
      <c r="JG2" s="22" t="s">
        <v>768</v>
      </c>
      <c r="JH2" s="22" t="s">
        <v>768</v>
      </c>
      <c r="JI2" s="22" t="s">
        <v>768</v>
      </c>
      <c r="JJ2" s="22" t="s">
        <v>768</v>
      </c>
      <c r="JK2" s="22" t="s">
        <v>768</v>
      </c>
      <c r="JL2" s="22" t="s">
        <v>768</v>
      </c>
      <c r="JM2" s="22" t="s">
        <v>768</v>
      </c>
      <c r="JN2" s="22" t="s">
        <v>768</v>
      </c>
      <c r="JO2" s="22" t="s">
        <v>768</v>
      </c>
      <c r="JP2" s="22" t="s">
        <v>768</v>
      </c>
      <c r="JZ2" s="22" t="s">
        <v>768</v>
      </c>
      <c r="KA2" s="22" t="s">
        <v>768</v>
      </c>
      <c r="KB2" s="22" t="s">
        <v>768</v>
      </c>
      <c r="KC2" s="22" t="s">
        <v>768</v>
      </c>
      <c r="KD2" s="22" t="s">
        <v>768</v>
      </c>
      <c r="KE2" s="22" t="s">
        <v>768</v>
      </c>
      <c r="KF2" s="22" t="s">
        <v>768</v>
      </c>
      <c r="KG2" s="22" t="s">
        <v>768</v>
      </c>
      <c r="KH2" s="22" t="s">
        <v>1098</v>
      </c>
      <c r="KI2" s="22" t="s">
        <v>768</v>
      </c>
      <c r="KJ2" s="22" t="s">
        <v>768</v>
      </c>
      <c r="KK2" s="22" t="s">
        <v>768</v>
      </c>
      <c r="KZ2" s="22" t="s">
        <v>768</v>
      </c>
      <c r="LA2" s="22" t="s">
        <v>768</v>
      </c>
      <c r="LB2" s="22" t="s">
        <v>768</v>
      </c>
      <c r="LC2" s="22" t="s">
        <v>768</v>
      </c>
      <c r="LD2" s="22" t="s">
        <v>768</v>
      </c>
      <c r="LE2" s="22" t="s">
        <v>768</v>
      </c>
      <c r="LF2" s="22" t="s">
        <v>768</v>
      </c>
      <c r="LG2" s="22" t="s">
        <v>768</v>
      </c>
      <c r="LH2" s="22" t="s">
        <v>768</v>
      </c>
      <c r="LI2" s="22" t="s">
        <v>768</v>
      </c>
      <c r="LJ2" s="22" t="s">
        <v>768</v>
      </c>
      <c r="LK2" s="22" t="s">
        <v>768</v>
      </c>
      <c r="LL2" s="22" t="s">
        <v>768</v>
      </c>
      <c r="LM2" s="22" t="s">
        <v>768</v>
      </c>
      <c r="LN2" s="22" t="s">
        <v>768</v>
      </c>
      <c r="LO2" s="22" t="s">
        <v>768</v>
      </c>
      <c r="LP2" s="22" t="s">
        <v>768</v>
      </c>
      <c r="LW2" s="22" t="s">
        <v>768</v>
      </c>
      <c r="LX2" s="22" t="s">
        <v>768</v>
      </c>
      <c r="LY2" s="22" t="s">
        <v>768</v>
      </c>
      <c r="LZ2" s="22" t="s">
        <v>768</v>
      </c>
      <c r="MA2" s="22" t="s">
        <v>768</v>
      </c>
      <c r="MB2" s="22" t="s">
        <v>1099</v>
      </c>
      <c r="MC2" s="22" t="s">
        <v>768</v>
      </c>
      <c r="MD2" s="22" t="s">
        <v>768</v>
      </c>
      <c r="ME2" s="22" t="s">
        <v>768</v>
      </c>
      <c r="MN2" s="22" t="s">
        <v>768</v>
      </c>
      <c r="MO2" s="22" t="s">
        <v>768</v>
      </c>
      <c r="MP2" s="22" t="s">
        <v>768</v>
      </c>
      <c r="MQ2" s="22" t="s">
        <v>768</v>
      </c>
      <c r="MR2" s="22" t="s">
        <v>768</v>
      </c>
      <c r="MS2" s="22" t="s">
        <v>768</v>
      </c>
      <c r="MT2" s="22" t="s">
        <v>768</v>
      </c>
      <c r="MU2" s="22" t="s">
        <v>768</v>
      </c>
      <c r="MV2" s="22" t="s">
        <v>768</v>
      </c>
      <c r="MW2" s="22" t="s">
        <v>768</v>
      </c>
      <c r="MX2" s="22" t="s">
        <v>768</v>
      </c>
      <c r="NE2" s="22" t="s">
        <v>768</v>
      </c>
      <c r="NF2" s="22" t="s">
        <v>768</v>
      </c>
      <c r="NG2" s="22" t="s">
        <v>768</v>
      </c>
      <c r="NH2" s="22" t="s">
        <v>768</v>
      </c>
      <c r="NI2" s="22" t="s">
        <v>768</v>
      </c>
      <c r="NJ2" s="22" t="s">
        <v>768</v>
      </c>
      <c r="NK2" s="22" t="s">
        <v>768</v>
      </c>
      <c r="NL2" s="22" t="s">
        <v>768</v>
      </c>
      <c r="NM2" s="22" t="s">
        <v>768</v>
      </c>
      <c r="OA2" s="22" t="s">
        <v>768</v>
      </c>
      <c r="OB2" s="22" t="s">
        <v>768</v>
      </c>
      <c r="OC2" s="22" t="s">
        <v>768</v>
      </c>
      <c r="OD2" s="22" t="s">
        <v>768</v>
      </c>
      <c r="OE2" s="22" t="s">
        <v>768</v>
      </c>
      <c r="OF2" s="22" t="s">
        <v>768</v>
      </c>
      <c r="OG2" s="22" t="s">
        <v>768</v>
      </c>
      <c r="OH2" s="22" t="s">
        <v>768</v>
      </c>
      <c r="OI2" s="22" t="s">
        <v>768</v>
      </c>
      <c r="OJ2" s="22" t="s">
        <v>768</v>
      </c>
      <c r="OK2" s="22" t="s">
        <v>768</v>
      </c>
      <c r="OL2" s="22" t="s">
        <v>768</v>
      </c>
      <c r="OM2" s="22" t="s">
        <v>768</v>
      </c>
      <c r="ON2" s="22" t="s">
        <v>768</v>
      </c>
      <c r="OO2" s="22" t="s">
        <v>768</v>
      </c>
      <c r="OP2" s="22" t="s">
        <v>768</v>
      </c>
      <c r="OZ2" s="22" t="s">
        <v>768</v>
      </c>
      <c r="PA2" s="22" t="s">
        <v>768</v>
      </c>
      <c r="PB2" s="22" t="s">
        <v>768</v>
      </c>
      <c r="PC2" s="22" t="s">
        <v>768</v>
      </c>
      <c r="PD2" s="22" t="s">
        <v>768</v>
      </c>
      <c r="PE2" s="22" t="s">
        <v>768</v>
      </c>
      <c r="PF2" s="22" t="s">
        <v>768</v>
      </c>
      <c r="PG2" s="22" t="s">
        <v>768</v>
      </c>
      <c r="PH2" s="22" t="s">
        <v>768</v>
      </c>
      <c r="PI2" s="22" t="s">
        <v>768</v>
      </c>
      <c r="PJ2" s="22" t="s">
        <v>768</v>
      </c>
      <c r="PK2" s="22" t="s">
        <v>768</v>
      </c>
      <c r="PW2" s="22" t="s">
        <v>768</v>
      </c>
      <c r="PX2" s="22" t="s">
        <v>768</v>
      </c>
      <c r="PY2" s="22" t="s">
        <v>768</v>
      </c>
      <c r="PZ2" s="22" t="s">
        <v>768</v>
      </c>
      <c r="QA2" s="22" t="s">
        <v>768</v>
      </c>
      <c r="QB2" s="22" t="s">
        <v>768</v>
      </c>
      <c r="QC2" s="22" t="s">
        <v>768</v>
      </c>
      <c r="QD2" s="22" t="s">
        <v>768</v>
      </c>
      <c r="QE2" s="22" t="s">
        <v>768</v>
      </c>
      <c r="QF2" s="22" t="s">
        <v>768</v>
      </c>
      <c r="QG2" s="22" t="s">
        <v>804</v>
      </c>
      <c r="QH2" s="22" t="s">
        <v>768</v>
      </c>
      <c r="QI2" s="22" t="s">
        <v>768</v>
      </c>
      <c r="QJ2" s="22" t="s">
        <v>768</v>
      </c>
      <c r="QX2" s="22" t="s">
        <v>768</v>
      </c>
      <c r="QY2" s="22" t="s">
        <v>768</v>
      </c>
      <c r="QZ2" s="22" t="s">
        <v>768</v>
      </c>
      <c r="RA2" s="22" t="s">
        <v>768</v>
      </c>
      <c r="RB2" s="22" t="s">
        <v>768</v>
      </c>
      <c r="RC2" s="22" t="s">
        <v>768</v>
      </c>
      <c r="RD2" s="22" t="s">
        <v>768</v>
      </c>
      <c r="RE2" s="22" t="s">
        <v>768</v>
      </c>
      <c r="RF2" s="22" t="s">
        <v>768</v>
      </c>
      <c r="RG2" s="22" t="s">
        <v>768</v>
      </c>
      <c r="RH2" s="22" t="s">
        <v>768</v>
      </c>
      <c r="RI2" s="22" t="s">
        <v>768</v>
      </c>
      <c r="RJ2" s="22" t="s">
        <v>768</v>
      </c>
      <c r="RK2" s="22" t="s">
        <v>768</v>
      </c>
      <c r="RL2" s="22" t="s">
        <v>768</v>
      </c>
      <c r="RM2" s="22" t="s">
        <v>768</v>
      </c>
      <c r="SD2" s="22" t="s">
        <v>768</v>
      </c>
      <c r="SE2" s="22" t="s">
        <v>768</v>
      </c>
      <c r="SF2" s="22" t="s">
        <v>768</v>
      </c>
      <c r="SG2" s="22" t="s">
        <v>768</v>
      </c>
      <c r="SH2" s="22" t="s">
        <v>768</v>
      </c>
      <c r="SI2" s="22" t="s">
        <v>768</v>
      </c>
      <c r="SJ2" s="22" t="s">
        <v>768</v>
      </c>
      <c r="SK2" s="22" t="s">
        <v>768</v>
      </c>
      <c r="SL2" s="22" t="s">
        <v>768</v>
      </c>
      <c r="SM2" s="22" t="s">
        <v>768</v>
      </c>
      <c r="SN2" s="22" t="s">
        <v>768</v>
      </c>
      <c r="SO2" s="22" t="s">
        <v>768</v>
      </c>
      <c r="SP2" s="22" t="s">
        <v>768</v>
      </c>
      <c r="SQ2" s="22" t="s">
        <v>768</v>
      </c>
      <c r="SR2" s="22" t="s">
        <v>768</v>
      </c>
      <c r="SS2" s="22" t="s">
        <v>768</v>
      </c>
      <c r="ST2" s="22" t="s">
        <v>768</v>
      </c>
      <c r="SU2" s="22" t="s">
        <v>768</v>
      </c>
      <c r="SV2" s="22" t="s">
        <v>768</v>
      </c>
      <c r="TE2" s="22" t="s">
        <v>768</v>
      </c>
      <c r="TF2" s="22" t="s">
        <v>768</v>
      </c>
      <c r="TG2" s="22" t="s">
        <v>768</v>
      </c>
      <c r="TH2" s="22" t="s">
        <v>768</v>
      </c>
      <c r="TI2" s="22" t="s">
        <v>768</v>
      </c>
      <c r="TJ2" s="22" t="s">
        <v>768</v>
      </c>
      <c r="TK2" s="22" t="s">
        <v>768</v>
      </c>
      <c r="TL2" s="22" t="s">
        <v>768</v>
      </c>
      <c r="TM2" s="22" t="s">
        <v>768</v>
      </c>
      <c r="TN2" s="22" t="s">
        <v>768</v>
      </c>
      <c r="TO2" s="22" t="s">
        <v>768</v>
      </c>
      <c r="TW2" s="22" t="s">
        <v>768</v>
      </c>
      <c r="TX2" s="22" t="s">
        <v>768</v>
      </c>
      <c r="TY2" s="22" t="s">
        <v>768</v>
      </c>
      <c r="TZ2" s="22" t="s">
        <v>768</v>
      </c>
      <c r="UA2" s="22" t="s">
        <v>768</v>
      </c>
      <c r="UB2" s="22" t="s">
        <v>768</v>
      </c>
      <c r="UC2" s="22" t="s">
        <v>768</v>
      </c>
      <c r="UD2" s="22" t="s">
        <v>768</v>
      </c>
      <c r="UE2" s="22" t="s">
        <v>768</v>
      </c>
      <c r="UF2" s="22" t="s">
        <v>768</v>
      </c>
      <c r="UN2" s="22" t="s">
        <v>768</v>
      </c>
      <c r="UO2" s="22" t="s">
        <v>768</v>
      </c>
      <c r="UP2" s="22" t="s">
        <v>768</v>
      </c>
      <c r="UQ2" s="22" t="s">
        <v>768</v>
      </c>
      <c r="UR2" s="22" t="s">
        <v>768</v>
      </c>
      <c r="US2" s="22" t="s">
        <v>768</v>
      </c>
      <c r="UT2" s="22" t="s">
        <v>768</v>
      </c>
      <c r="UU2" s="22" t="s">
        <v>768</v>
      </c>
      <c r="UV2" s="22" t="s">
        <v>768</v>
      </c>
      <c r="UW2" s="22" t="s">
        <v>768</v>
      </c>
      <c r="VJ2" s="22" t="s">
        <v>768</v>
      </c>
      <c r="VK2" s="22" t="s">
        <v>768</v>
      </c>
      <c r="VL2" s="22" t="s">
        <v>768</v>
      </c>
      <c r="VM2" s="22" t="s">
        <v>768</v>
      </c>
      <c r="VN2" s="22" t="s">
        <v>768</v>
      </c>
      <c r="VO2" s="22" t="s">
        <v>768</v>
      </c>
      <c r="VP2" s="22" t="s">
        <v>768</v>
      </c>
      <c r="VQ2" s="22" t="s">
        <v>768</v>
      </c>
      <c r="VR2" s="22" t="s">
        <v>768</v>
      </c>
      <c r="VS2" s="22" t="s">
        <v>768</v>
      </c>
      <c r="VT2" s="22" t="s">
        <v>768</v>
      </c>
      <c r="VU2" s="22" t="s">
        <v>768</v>
      </c>
      <c r="WM2" s="22" t="s">
        <v>768</v>
      </c>
      <c r="WN2" s="22" t="s">
        <v>768</v>
      </c>
      <c r="WO2" s="22" t="s">
        <v>768</v>
      </c>
      <c r="WZ2" s="22" t="s">
        <v>768</v>
      </c>
      <c r="XA2" s="22" t="s">
        <v>768</v>
      </c>
      <c r="XB2" s="22" t="s">
        <v>768</v>
      </c>
      <c r="XC2" s="22" t="s">
        <v>768</v>
      </c>
      <c r="XD2" s="22" t="s">
        <v>768</v>
      </c>
      <c r="XE2" s="22" t="s">
        <v>768</v>
      </c>
      <c r="XF2" s="22" t="s">
        <v>768</v>
      </c>
      <c r="XG2" s="22" t="s">
        <v>768</v>
      </c>
      <c r="XH2" s="22" t="s">
        <v>768</v>
      </c>
      <c r="XI2" s="22" t="s">
        <v>768</v>
      </c>
      <c r="XJ2" s="22" t="s">
        <v>768</v>
      </c>
      <c r="XK2" s="22" t="s">
        <v>768</v>
      </c>
      <c r="XL2" s="22" t="s">
        <v>768</v>
      </c>
      <c r="XU2" s="22" t="s">
        <v>768</v>
      </c>
      <c r="XV2" s="22" t="s">
        <v>768</v>
      </c>
      <c r="XW2" s="22" t="s">
        <v>768</v>
      </c>
      <c r="XX2" s="22" t="s">
        <v>768</v>
      </c>
      <c r="XY2" s="22" t="s">
        <v>768</v>
      </c>
      <c r="XZ2" s="22" t="s">
        <v>768</v>
      </c>
      <c r="YA2" s="22" t="s">
        <v>768</v>
      </c>
      <c r="YB2" s="22" t="s">
        <v>768</v>
      </c>
      <c r="YC2" s="22" t="s">
        <v>768</v>
      </c>
      <c r="YD2" s="22" t="s">
        <v>768</v>
      </c>
      <c r="YE2" s="22" t="s">
        <v>768</v>
      </c>
      <c r="YS2" s="22" t="s">
        <v>768</v>
      </c>
      <c r="YT2" s="22" t="s">
        <v>768</v>
      </c>
      <c r="YU2" s="22" t="s">
        <v>768</v>
      </c>
      <c r="YV2" s="22" t="s">
        <v>768</v>
      </c>
      <c r="YW2" s="22" t="s">
        <v>768</v>
      </c>
      <c r="YX2" s="22" t="s">
        <v>768</v>
      </c>
      <c r="YY2" s="22" t="s">
        <v>768</v>
      </c>
      <c r="YZ2" s="22" t="s">
        <v>768</v>
      </c>
      <c r="ZA2" s="22" t="s">
        <v>768</v>
      </c>
      <c r="ZB2" s="22" t="s">
        <v>768</v>
      </c>
      <c r="ZC2" s="22" t="s">
        <v>768</v>
      </c>
      <c r="ZD2" s="22" t="s">
        <v>768</v>
      </c>
      <c r="ZE2" s="22" t="s">
        <v>768</v>
      </c>
      <c r="ZF2" s="22" t="s">
        <v>768</v>
      </c>
      <c r="ZG2" s="22" t="s">
        <v>768</v>
      </c>
      <c r="ZH2" s="22" t="s">
        <v>768</v>
      </c>
      <c r="ZS2" s="22" t="s">
        <v>768</v>
      </c>
      <c r="ZT2" s="22" t="s">
        <v>768</v>
      </c>
      <c r="ZU2" s="22" t="s">
        <v>768</v>
      </c>
      <c r="ZV2" s="22" t="s">
        <v>768</v>
      </c>
      <c r="ZW2" s="22" t="s">
        <v>768</v>
      </c>
      <c r="ZX2" s="22" t="s">
        <v>768</v>
      </c>
      <c r="ZY2" s="22" t="s">
        <v>768</v>
      </c>
      <c r="ZZ2" s="22" t="s">
        <v>768</v>
      </c>
      <c r="AAA2" s="22" t="s">
        <v>768</v>
      </c>
      <c r="AAB2" s="22" t="s">
        <v>768</v>
      </c>
    </row>
    <row r="3" spans="1:724" x14ac:dyDescent="0.3">
      <c r="A3" s="22">
        <v>2</v>
      </c>
      <c r="B3" s="22">
        <v>2</v>
      </c>
      <c r="C3" s="23">
        <v>44360.739307442127</v>
      </c>
      <c r="T3" s="22" t="s">
        <v>769</v>
      </c>
      <c r="U3" s="22" t="s">
        <v>770</v>
      </c>
      <c r="V3" s="22" t="s">
        <v>771</v>
      </c>
      <c r="W3" s="22" t="s">
        <v>772</v>
      </c>
      <c r="X3" s="22" t="s">
        <v>773</v>
      </c>
      <c r="CD3" s="22">
        <v>1</v>
      </c>
      <c r="GT3" s="22">
        <v>2</v>
      </c>
      <c r="HA3" s="22" t="s">
        <v>849</v>
      </c>
      <c r="HB3" s="22" t="s">
        <v>1095</v>
      </c>
      <c r="HM3" s="22">
        <v>2</v>
      </c>
      <c r="MU3" s="22" t="s">
        <v>1106</v>
      </c>
      <c r="NE3" s="22" t="s">
        <v>804</v>
      </c>
      <c r="PH3" s="22" t="s">
        <v>804</v>
      </c>
      <c r="ZE3" s="22" t="s">
        <v>849</v>
      </c>
    </row>
    <row r="4" spans="1:724" x14ac:dyDescent="0.3">
      <c r="A4" s="22">
        <v>3</v>
      </c>
      <c r="B4" s="22">
        <v>3</v>
      </c>
      <c r="C4" s="23">
        <v>44361.845621956018</v>
      </c>
      <c r="D4" s="23">
        <v>44360.890517511572</v>
      </c>
      <c r="E4" s="22" t="s">
        <v>774</v>
      </c>
      <c r="J4" s="22" t="s">
        <v>762</v>
      </c>
      <c r="K4" s="22" t="s">
        <v>763</v>
      </c>
      <c r="T4" s="22" t="s">
        <v>775</v>
      </c>
      <c r="U4" s="22" t="s">
        <v>765</v>
      </c>
      <c r="V4" s="22" t="s">
        <v>771</v>
      </c>
      <c r="W4" s="22" t="s">
        <v>772</v>
      </c>
      <c r="X4" s="22" t="s">
        <v>773</v>
      </c>
      <c r="Y4" s="22">
        <v>1</v>
      </c>
      <c r="Z4" s="22">
        <v>2</v>
      </c>
      <c r="AA4" s="22">
        <v>3</v>
      </c>
      <c r="AB4" s="22">
        <v>1</v>
      </c>
      <c r="AC4" s="22">
        <v>2</v>
      </c>
      <c r="AD4" s="22">
        <v>3</v>
      </c>
      <c r="AE4" s="22">
        <v>2</v>
      </c>
      <c r="AF4" s="22" t="s">
        <v>768</v>
      </c>
      <c r="AG4" s="22" t="s">
        <v>768</v>
      </c>
      <c r="AH4" s="22" t="s">
        <v>768</v>
      </c>
      <c r="AI4" s="22" t="s">
        <v>768</v>
      </c>
      <c r="AJ4" s="22" t="s">
        <v>768</v>
      </c>
      <c r="AK4" s="22" t="s">
        <v>768</v>
      </c>
      <c r="AL4" s="22" t="s">
        <v>768</v>
      </c>
      <c r="AM4" s="22">
        <v>1</v>
      </c>
      <c r="AN4" s="22">
        <v>2</v>
      </c>
      <c r="AO4" s="22">
        <v>2</v>
      </c>
      <c r="AP4" s="22">
        <v>1</v>
      </c>
      <c r="AQ4" s="22">
        <v>1</v>
      </c>
      <c r="AR4" s="22">
        <v>1</v>
      </c>
      <c r="AS4" s="22">
        <v>2</v>
      </c>
      <c r="AT4" s="22">
        <v>2</v>
      </c>
      <c r="AU4" s="22">
        <v>2</v>
      </c>
      <c r="AV4" s="22" t="s">
        <v>768</v>
      </c>
      <c r="AW4" s="22" t="s">
        <v>768</v>
      </c>
      <c r="AX4" s="22" t="s">
        <v>768</v>
      </c>
      <c r="AY4" s="22" t="s">
        <v>768</v>
      </c>
      <c r="AZ4" s="22" t="s">
        <v>768</v>
      </c>
      <c r="BA4" s="22" t="s">
        <v>768</v>
      </c>
      <c r="BB4" s="22" t="s">
        <v>768</v>
      </c>
      <c r="BC4" s="22" t="s">
        <v>768</v>
      </c>
      <c r="BD4" s="22" t="s">
        <v>766</v>
      </c>
      <c r="BE4" s="22">
        <v>1</v>
      </c>
      <c r="BF4" s="22">
        <v>2</v>
      </c>
      <c r="BG4" s="22">
        <v>1</v>
      </c>
      <c r="BH4" s="22">
        <v>2</v>
      </c>
      <c r="BI4" s="22">
        <v>2</v>
      </c>
      <c r="BJ4" s="22">
        <v>3</v>
      </c>
      <c r="BK4" s="22">
        <v>1</v>
      </c>
      <c r="BL4" s="22" t="s">
        <v>776</v>
      </c>
      <c r="BM4" s="22" t="s">
        <v>776</v>
      </c>
      <c r="BN4" s="22" t="s">
        <v>776</v>
      </c>
      <c r="BO4" s="22" t="s">
        <v>766</v>
      </c>
      <c r="BP4" s="22" t="s">
        <v>766</v>
      </c>
      <c r="BQ4" s="22" t="s">
        <v>777</v>
      </c>
      <c r="BR4" s="22" t="s">
        <v>766</v>
      </c>
      <c r="BT4" s="22">
        <v>1</v>
      </c>
      <c r="BU4" s="22">
        <v>2</v>
      </c>
      <c r="BV4" s="22">
        <v>3</v>
      </c>
      <c r="BX4" s="22" t="s">
        <v>778</v>
      </c>
      <c r="BY4" s="22" t="s">
        <v>776</v>
      </c>
      <c r="BZ4" s="22" t="s">
        <v>766</v>
      </c>
      <c r="CA4" s="22" t="s">
        <v>779</v>
      </c>
      <c r="CB4" s="22" t="s">
        <v>768</v>
      </c>
      <c r="CC4" s="22" t="s">
        <v>768</v>
      </c>
      <c r="CE4" s="22">
        <v>1</v>
      </c>
      <c r="CF4" s="22">
        <v>1</v>
      </c>
      <c r="CG4" s="22">
        <v>1</v>
      </c>
      <c r="CN4" s="22" t="s">
        <v>772</v>
      </c>
      <c r="CO4" s="22" t="s">
        <v>772</v>
      </c>
      <c r="CP4" s="22" t="s">
        <v>772</v>
      </c>
      <c r="CQ4" s="22" t="s">
        <v>772</v>
      </c>
      <c r="CR4" s="22" t="s">
        <v>768</v>
      </c>
      <c r="CS4" s="22" t="s">
        <v>768</v>
      </c>
      <c r="CT4" s="22" t="s">
        <v>768</v>
      </c>
      <c r="CU4" s="22" t="s">
        <v>768</v>
      </c>
      <c r="CV4" s="22" t="s">
        <v>768</v>
      </c>
      <c r="CW4" s="22" t="s">
        <v>849</v>
      </c>
      <c r="CX4" s="22" t="s">
        <v>768</v>
      </c>
      <c r="CY4" s="22" t="s">
        <v>768</v>
      </c>
      <c r="DC4" s="22">
        <v>2</v>
      </c>
      <c r="DH4" s="22">
        <v>2</v>
      </c>
      <c r="DI4" s="22" t="s">
        <v>772</v>
      </c>
      <c r="DJ4" s="22" t="s">
        <v>772</v>
      </c>
      <c r="DK4" s="22" t="s">
        <v>768</v>
      </c>
      <c r="DL4" s="22" t="s">
        <v>768</v>
      </c>
      <c r="DM4" s="22" t="s">
        <v>768</v>
      </c>
      <c r="DN4" s="22" t="s">
        <v>768</v>
      </c>
      <c r="DO4" s="22" t="s">
        <v>768</v>
      </c>
      <c r="DQ4" s="22" t="s">
        <v>779</v>
      </c>
      <c r="DR4" s="22" t="s">
        <v>768</v>
      </c>
      <c r="DS4" s="22" t="s">
        <v>768</v>
      </c>
      <c r="DV4" s="22">
        <v>3</v>
      </c>
      <c r="DZ4" s="22">
        <v>3</v>
      </c>
      <c r="EB4" s="22">
        <v>1</v>
      </c>
      <c r="EC4" s="22">
        <v>3</v>
      </c>
      <c r="ED4" s="22" t="s">
        <v>780</v>
      </c>
      <c r="EE4" s="22" t="s">
        <v>772</v>
      </c>
      <c r="EF4" s="22" t="s">
        <v>1092</v>
      </c>
      <c r="EG4" s="22" t="s">
        <v>772</v>
      </c>
      <c r="EH4" s="22" t="s">
        <v>1093</v>
      </c>
      <c r="EI4" s="22" t="s">
        <v>768</v>
      </c>
      <c r="EJ4" s="22" t="s">
        <v>768</v>
      </c>
      <c r="EK4" s="22" t="s">
        <v>768</v>
      </c>
      <c r="EL4" s="22" t="s">
        <v>768</v>
      </c>
      <c r="EM4" s="22" t="s">
        <v>768</v>
      </c>
      <c r="EN4" s="22" t="s">
        <v>768</v>
      </c>
      <c r="EO4" s="22" t="s">
        <v>768</v>
      </c>
      <c r="EP4" s="22" t="s">
        <v>768</v>
      </c>
      <c r="FA4" s="22" t="s">
        <v>768</v>
      </c>
      <c r="FB4" s="22" t="s">
        <v>768</v>
      </c>
      <c r="FC4" s="22" t="s">
        <v>768</v>
      </c>
      <c r="FD4" s="22" t="s">
        <v>768</v>
      </c>
      <c r="FE4" s="22" t="s">
        <v>768</v>
      </c>
      <c r="FF4" s="22" t="s">
        <v>768</v>
      </c>
      <c r="FG4" s="22" t="s">
        <v>768</v>
      </c>
      <c r="FH4" s="22" t="s">
        <v>768</v>
      </c>
      <c r="FI4" s="22" t="s">
        <v>768</v>
      </c>
      <c r="FJ4" s="22" t="s">
        <v>768</v>
      </c>
      <c r="FK4" s="22" t="s">
        <v>768</v>
      </c>
      <c r="FL4" s="22" t="s">
        <v>768</v>
      </c>
      <c r="FM4" s="22" t="s">
        <v>768</v>
      </c>
      <c r="FN4" s="22">
        <v>2</v>
      </c>
      <c r="FO4" s="22">
        <v>2</v>
      </c>
      <c r="FP4" s="22">
        <v>2</v>
      </c>
      <c r="FY4" s="22" t="s">
        <v>768</v>
      </c>
      <c r="FZ4" s="22" t="s">
        <v>768</v>
      </c>
      <c r="GA4" s="22" t="s">
        <v>768</v>
      </c>
      <c r="GB4" s="22" t="s">
        <v>768</v>
      </c>
      <c r="GC4" s="22" t="s">
        <v>768</v>
      </c>
      <c r="GD4" s="22" t="s">
        <v>768</v>
      </c>
      <c r="GE4" s="22" t="s">
        <v>768</v>
      </c>
      <c r="GF4" s="22" t="s">
        <v>768</v>
      </c>
      <c r="GG4" s="22" t="s">
        <v>768</v>
      </c>
      <c r="GH4" s="22" t="s">
        <v>768</v>
      </c>
      <c r="GI4" s="22" t="s">
        <v>768</v>
      </c>
      <c r="GJ4" s="22" t="s">
        <v>768</v>
      </c>
      <c r="GK4" s="22" t="s">
        <v>768</v>
      </c>
      <c r="GL4" s="22" t="s">
        <v>768</v>
      </c>
      <c r="GM4" s="22">
        <v>2</v>
      </c>
      <c r="GU4" s="22" t="s">
        <v>768</v>
      </c>
      <c r="GV4" s="22" t="s">
        <v>768</v>
      </c>
      <c r="GW4" s="22" t="s">
        <v>768</v>
      </c>
      <c r="GX4" s="22" t="s">
        <v>768</v>
      </c>
      <c r="GY4" s="22" t="s">
        <v>768</v>
      </c>
      <c r="GZ4" s="22" t="s">
        <v>768</v>
      </c>
      <c r="HA4" s="22" t="s">
        <v>768</v>
      </c>
      <c r="HB4" s="22" t="s">
        <v>768</v>
      </c>
      <c r="HC4" s="22" t="s">
        <v>768</v>
      </c>
      <c r="HD4" s="22" t="s">
        <v>768</v>
      </c>
      <c r="HE4" s="22" t="s">
        <v>768</v>
      </c>
      <c r="HG4" s="22">
        <v>1</v>
      </c>
      <c r="HH4" s="22">
        <v>1</v>
      </c>
      <c r="HN4" s="22" t="s">
        <v>768</v>
      </c>
      <c r="HO4" s="22" t="s">
        <v>768</v>
      </c>
      <c r="HP4" s="22" t="s">
        <v>768</v>
      </c>
      <c r="HQ4" s="22" t="s">
        <v>768</v>
      </c>
      <c r="HR4" s="22" t="s">
        <v>768</v>
      </c>
      <c r="HS4" s="22" t="s">
        <v>768</v>
      </c>
      <c r="HT4" s="22" t="s">
        <v>768</v>
      </c>
      <c r="HU4" s="22" t="s">
        <v>1096</v>
      </c>
      <c r="HV4" s="22" t="s">
        <v>768</v>
      </c>
      <c r="HW4" s="22" t="s">
        <v>768</v>
      </c>
      <c r="HX4" s="22" t="s">
        <v>768</v>
      </c>
      <c r="IB4" s="22">
        <v>2</v>
      </c>
      <c r="IC4" s="22">
        <v>2</v>
      </c>
      <c r="IG4" s="22" t="s">
        <v>1097</v>
      </c>
      <c r="IH4" s="22" t="s">
        <v>768</v>
      </c>
      <c r="II4" s="22" t="s">
        <v>768</v>
      </c>
      <c r="IJ4" s="22" t="s">
        <v>768</v>
      </c>
      <c r="IK4" s="22" t="s">
        <v>768</v>
      </c>
      <c r="IL4" s="22" t="s">
        <v>768</v>
      </c>
      <c r="IM4" s="22" t="s">
        <v>768</v>
      </c>
      <c r="IN4" s="22" t="s">
        <v>768</v>
      </c>
      <c r="IO4" s="22" t="s">
        <v>768</v>
      </c>
      <c r="IP4" s="22" t="s">
        <v>768</v>
      </c>
      <c r="IQ4" s="22" t="s">
        <v>768</v>
      </c>
      <c r="IW4" s="22">
        <v>1</v>
      </c>
      <c r="IX4" s="22">
        <v>1</v>
      </c>
      <c r="JC4" s="22" t="s">
        <v>768</v>
      </c>
      <c r="JD4" s="22" t="s">
        <v>768</v>
      </c>
      <c r="JE4" s="22" t="s">
        <v>768</v>
      </c>
      <c r="JF4" s="22" t="s">
        <v>768</v>
      </c>
      <c r="JG4" s="22" t="s">
        <v>768</v>
      </c>
      <c r="JH4" s="22" t="s">
        <v>768</v>
      </c>
      <c r="JI4" s="22" t="s">
        <v>768</v>
      </c>
      <c r="JJ4" s="22" t="s">
        <v>768</v>
      </c>
      <c r="JK4" s="22" t="s">
        <v>768</v>
      </c>
      <c r="JL4" s="22" t="s">
        <v>768</v>
      </c>
      <c r="JM4" s="22" t="s">
        <v>768</v>
      </c>
      <c r="JN4" s="22" t="s">
        <v>768</v>
      </c>
      <c r="JO4" s="22" t="s">
        <v>768</v>
      </c>
      <c r="JP4" s="22" t="s">
        <v>768</v>
      </c>
      <c r="JT4" s="22">
        <v>2</v>
      </c>
      <c r="JU4" s="22">
        <v>2</v>
      </c>
      <c r="JZ4" s="22" t="s">
        <v>768</v>
      </c>
      <c r="KA4" s="22" t="s">
        <v>768</v>
      </c>
      <c r="KB4" s="22" t="s">
        <v>768</v>
      </c>
      <c r="KC4" s="22" t="s">
        <v>768</v>
      </c>
      <c r="KD4" s="22" t="s">
        <v>768</v>
      </c>
      <c r="KE4" s="22" t="s">
        <v>768</v>
      </c>
      <c r="KF4" s="22" t="s">
        <v>768</v>
      </c>
      <c r="KG4" s="22" t="s">
        <v>768</v>
      </c>
      <c r="KH4" s="22" t="s">
        <v>768</v>
      </c>
      <c r="KI4" s="22" t="s">
        <v>768</v>
      </c>
      <c r="KJ4" s="22" t="s">
        <v>768</v>
      </c>
      <c r="KK4" s="22" t="s">
        <v>768</v>
      </c>
      <c r="KS4" s="22">
        <v>1</v>
      </c>
      <c r="KT4" s="22">
        <v>1</v>
      </c>
      <c r="KZ4" s="22" t="s">
        <v>768</v>
      </c>
      <c r="LA4" s="22" t="s">
        <v>768</v>
      </c>
      <c r="LB4" s="22" t="s">
        <v>768</v>
      </c>
      <c r="LC4" s="22" t="s">
        <v>768</v>
      </c>
      <c r="LD4" s="22" t="s">
        <v>768</v>
      </c>
      <c r="LE4" s="22" t="s">
        <v>768</v>
      </c>
      <c r="LF4" s="22" t="s">
        <v>768</v>
      </c>
      <c r="LG4" s="22" t="s">
        <v>768</v>
      </c>
      <c r="LH4" s="22" t="s">
        <v>849</v>
      </c>
      <c r="LI4" s="22" t="s">
        <v>768</v>
      </c>
      <c r="LJ4" s="22" t="s">
        <v>768</v>
      </c>
      <c r="LK4" s="22" t="s">
        <v>768</v>
      </c>
      <c r="LL4" s="22" t="s">
        <v>768</v>
      </c>
      <c r="LM4" s="22" t="s">
        <v>768</v>
      </c>
      <c r="LN4" s="22" t="s">
        <v>768</v>
      </c>
      <c r="LO4" s="22" t="s">
        <v>768</v>
      </c>
      <c r="LP4" s="22" t="s">
        <v>768</v>
      </c>
      <c r="LR4" s="22">
        <v>1</v>
      </c>
      <c r="LS4" s="22">
        <v>1</v>
      </c>
      <c r="LW4" s="22" t="s">
        <v>768</v>
      </c>
      <c r="LX4" s="22" t="s">
        <v>768</v>
      </c>
      <c r="LY4" s="22" t="s">
        <v>768</v>
      </c>
      <c r="LZ4" s="22" t="s">
        <v>768</v>
      </c>
      <c r="MA4" s="22" t="s">
        <v>768</v>
      </c>
      <c r="MB4" s="22" t="s">
        <v>768</v>
      </c>
      <c r="MC4" s="22" t="s">
        <v>768</v>
      </c>
      <c r="MD4" s="22" t="s">
        <v>768</v>
      </c>
      <c r="ME4" s="22" t="s">
        <v>768</v>
      </c>
      <c r="MF4" s="22">
        <v>1</v>
      </c>
      <c r="MG4" s="22">
        <v>1</v>
      </c>
      <c r="MN4" s="22" t="s">
        <v>768</v>
      </c>
      <c r="MO4" s="22" t="s">
        <v>768</v>
      </c>
      <c r="MP4" s="22" t="s">
        <v>768</v>
      </c>
      <c r="MQ4" s="22" t="s">
        <v>768</v>
      </c>
      <c r="MR4" s="22" t="s">
        <v>768</v>
      </c>
      <c r="MS4" s="22" t="s">
        <v>768</v>
      </c>
      <c r="MT4" s="22" t="s">
        <v>768</v>
      </c>
      <c r="MU4" s="22" t="s">
        <v>768</v>
      </c>
      <c r="MV4" s="22" t="s">
        <v>768</v>
      </c>
      <c r="MW4" s="22" t="s">
        <v>768</v>
      </c>
      <c r="MX4" s="22" t="s">
        <v>768</v>
      </c>
      <c r="NA4" s="22">
        <v>2</v>
      </c>
      <c r="NE4" s="22" t="s">
        <v>768</v>
      </c>
      <c r="NF4" s="22" t="s">
        <v>781</v>
      </c>
      <c r="NG4" s="22" t="s">
        <v>782</v>
      </c>
      <c r="NH4" s="22" t="s">
        <v>768</v>
      </c>
      <c r="NI4" s="22" t="s">
        <v>768</v>
      </c>
      <c r="NJ4" s="22" t="s">
        <v>1107</v>
      </c>
      <c r="NK4" s="22" t="s">
        <v>768</v>
      </c>
      <c r="NL4" s="22" t="s">
        <v>768</v>
      </c>
      <c r="NT4" s="22">
        <v>3</v>
      </c>
      <c r="OA4" s="22" t="s">
        <v>768</v>
      </c>
      <c r="OB4" s="22" t="s">
        <v>768</v>
      </c>
      <c r="OC4" s="22" t="s">
        <v>768</v>
      </c>
      <c r="OD4" s="22" t="s">
        <v>768</v>
      </c>
      <c r="OE4" s="22" t="s">
        <v>780</v>
      </c>
      <c r="OF4" s="22" t="s">
        <v>783</v>
      </c>
      <c r="OG4" s="22" t="s">
        <v>768</v>
      </c>
      <c r="OH4" s="22" t="s">
        <v>768</v>
      </c>
      <c r="OI4" s="22" t="s">
        <v>768</v>
      </c>
      <c r="OJ4" s="22" t="s">
        <v>768</v>
      </c>
      <c r="OK4" s="22" t="s">
        <v>768</v>
      </c>
      <c r="OL4" s="22" t="s">
        <v>768</v>
      </c>
      <c r="ON4" s="22" t="s">
        <v>768</v>
      </c>
      <c r="OO4" s="22" t="s">
        <v>768</v>
      </c>
      <c r="OT4" s="22">
        <v>2</v>
      </c>
      <c r="OZ4" s="22" t="s">
        <v>768</v>
      </c>
      <c r="PA4" s="22" t="s">
        <v>768</v>
      </c>
      <c r="PB4" s="22" t="s">
        <v>768</v>
      </c>
      <c r="PC4" s="22" t="s">
        <v>784</v>
      </c>
      <c r="PD4" s="22" t="s">
        <v>768</v>
      </c>
      <c r="PE4" s="22" t="s">
        <v>768</v>
      </c>
      <c r="PF4" s="22" t="s">
        <v>768</v>
      </c>
      <c r="PG4" s="22" t="s">
        <v>768</v>
      </c>
      <c r="PI4" s="22" t="s">
        <v>768</v>
      </c>
      <c r="PJ4" s="22" t="s">
        <v>768</v>
      </c>
      <c r="PK4" s="22" t="s">
        <v>768</v>
      </c>
      <c r="PO4" s="22">
        <v>1</v>
      </c>
      <c r="PW4" s="22" t="s">
        <v>768</v>
      </c>
      <c r="PX4" s="22" t="s">
        <v>768</v>
      </c>
      <c r="PY4" s="22" t="s">
        <v>768</v>
      </c>
      <c r="PZ4" s="22" t="s">
        <v>785</v>
      </c>
      <c r="QA4" s="22" t="s">
        <v>768</v>
      </c>
      <c r="QB4" s="22" t="s">
        <v>768</v>
      </c>
      <c r="QC4" s="22" t="s">
        <v>768</v>
      </c>
      <c r="QD4" s="22" t="s">
        <v>768</v>
      </c>
      <c r="QE4" s="22" t="s">
        <v>768</v>
      </c>
      <c r="QF4" s="22" t="s">
        <v>768</v>
      </c>
      <c r="QG4" s="22" t="s">
        <v>768</v>
      </c>
      <c r="QH4" s="22" t="s">
        <v>768</v>
      </c>
      <c r="QI4" s="22" t="s">
        <v>768</v>
      </c>
      <c r="QJ4" s="22" t="s">
        <v>768</v>
      </c>
      <c r="QX4" s="22" t="s">
        <v>768</v>
      </c>
      <c r="QY4" s="22" t="s">
        <v>768</v>
      </c>
      <c r="QZ4" s="22" t="s">
        <v>768</v>
      </c>
      <c r="RA4" s="22" t="s">
        <v>768</v>
      </c>
      <c r="RB4" s="22" t="s">
        <v>768</v>
      </c>
      <c r="RC4" s="22" t="s">
        <v>768</v>
      </c>
      <c r="RD4" s="22" t="s">
        <v>768</v>
      </c>
      <c r="RE4" s="22" t="s">
        <v>768</v>
      </c>
      <c r="RF4" s="22" t="s">
        <v>768</v>
      </c>
      <c r="RG4" s="22" t="s">
        <v>768</v>
      </c>
      <c r="RH4" s="22" t="s">
        <v>768</v>
      </c>
      <c r="RI4" s="22" t="s">
        <v>768</v>
      </c>
      <c r="RJ4" s="22" t="s">
        <v>768</v>
      </c>
      <c r="RK4" s="22" t="s">
        <v>768</v>
      </c>
      <c r="RL4" s="22" t="s">
        <v>768</v>
      </c>
      <c r="RM4" s="22" t="s">
        <v>768</v>
      </c>
      <c r="SC4" s="22">
        <v>2</v>
      </c>
      <c r="SD4" s="22" t="s">
        <v>768</v>
      </c>
      <c r="SE4" s="22" t="s">
        <v>768</v>
      </c>
      <c r="SF4" s="22" t="s">
        <v>768</v>
      </c>
      <c r="SG4" s="22" t="s">
        <v>768</v>
      </c>
      <c r="SH4" s="22" t="s">
        <v>768</v>
      </c>
      <c r="SI4" s="22" t="s">
        <v>768</v>
      </c>
      <c r="SJ4" s="22" t="s">
        <v>768</v>
      </c>
      <c r="SK4" s="22" t="s">
        <v>768</v>
      </c>
      <c r="SL4" s="22" t="s">
        <v>768</v>
      </c>
      <c r="SM4" s="22" t="s">
        <v>768</v>
      </c>
      <c r="SN4" s="22" t="s">
        <v>768</v>
      </c>
      <c r="SO4" s="22" t="s">
        <v>768</v>
      </c>
      <c r="SP4" s="22" t="s">
        <v>768</v>
      </c>
      <c r="SQ4" s="22" t="s">
        <v>768</v>
      </c>
      <c r="SR4" s="22" t="s">
        <v>768</v>
      </c>
      <c r="SS4" s="22" t="s">
        <v>768</v>
      </c>
      <c r="ST4" s="22" t="s">
        <v>768</v>
      </c>
      <c r="SU4" s="22" t="s">
        <v>768</v>
      </c>
      <c r="SV4" s="22" t="s">
        <v>768</v>
      </c>
      <c r="TE4" s="22" t="s">
        <v>768</v>
      </c>
      <c r="TF4" s="22" t="s">
        <v>768</v>
      </c>
      <c r="TG4" s="22" t="s">
        <v>768</v>
      </c>
      <c r="TH4" s="22" t="s">
        <v>768</v>
      </c>
      <c r="TI4" s="22" t="s">
        <v>768</v>
      </c>
      <c r="TJ4" s="22" t="s">
        <v>768</v>
      </c>
      <c r="TK4" s="22" t="s">
        <v>768</v>
      </c>
      <c r="TL4" s="22" t="s">
        <v>768</v>
      </c>
      <c r="TM4" s="22" t="s">
        <v>768</v>
      </c>
      <c r="TN4" s="22" t="s">
        <v>768</v>
      </c>
      <c r="TO4" s="22" t="s">
        <v>768</v>
      </c>
      <c r="TV4" s="22">
        <v>2</v>
      </c>
      <c r="TW4" s="22" t="s">
        <v>768</v>
      </c>
      <c r="TX4" s="22" t="s">
        <v>768</v>
      </c>
      <c r="TY4" s="22" t="s">
        <v>768</v>
      </c>
      <c r="TZ4" s="22" t="s">
        <v>768</v>
      </c>
      <c r="UA4" s="22" t="s">
        <v>768</v>
      </c>
      <c r="UB4" s="22" t="s">
        <v>768</v>
      </c>
      <c r="UC4" s="22" t="s">
        <v>768</v>
      </c>
      <c r="UD4" s="22" t="s">
        <v>768</v>
      </c>
      <c r="UE4" s="22" t="s">
        <v>768</v>
      </c>
      <c r="UF4" s="22" t="s">
        <v>768</v>
      </c>
      <c r="UN4" s="22" t="s">
        <v>768</v>
      </c>
      <c r="UO4" s="22" t="s">
        <v>768</v>
      </c>
      <c r="UP4" s="22" t="s">
        <v>768</v>
      </c>
      <c r="UQ4" s="22" t="s">
        <v>768</v>
      </c>
      <c r="UR4" s="22" t="s">
        <v>768</v>
      </c>
      <c r="US4" s="22" t="s">
        <v>768</v>
      </c>
      <c r="UT4" s="22" t="s">
        <v>768</v>
      </c>
      <c r="UU4" s="22" t="s">
        <v>768</v>
      </c>
      <c r="UV4" s="22" t="s">
        <v>768</v>
      </c>
      <c r="UW4" s="22" t="s">
        <v>768</v>
      </c>
      <c r="VI4" s="22">
        <v>2</v>
      </c>
      <c r="VJ4" s="22" t="s">
        <v>768</v>
      </c>
      <c r="VK4" s="22" t="s">
        <v>768</v>
      </c>
      <c r="VL4" s="22" t="s">
        <v>768</v>
      </c>
      <c r="VM4" s="22" t="s">
        <v>768</v>
      </c>
      <c r="VN4" s="22" t="s">
        <v>768</v>
      </c>
      <c r="VO4" s="22" t="s">
        <v>768</v>
      </c>
      <c r="VP4" s="22" t="s">
        <v>768</v>
      </c>
      <c r="VQ4" s="22" t="s">
        <v>768</v>
      </c>
      <c r="VR4" s="22" t="s">
        <v>768</v>
      </c>
      <c r="VS4" s="22" t="s">
        <v>768</v>
      </c>
      <c r="VT4" s="22" t="s">
        <v>768</v>
      </c>
      <c r="VU4" s="22" t="s">
        <v>768</v>
      </c>
      <c r="WM4" s="22" t="s">
        <v>768</v>
      </c>
      <c r="WN4" s="22" t="s">
        <v>768</v>
      </c>
      <c r="WO4" s="22" t="s">
        <v>768</v>
      </c>
      <c r="WZ4" s="22" t="s">
        <v>768</v>
      </c>
      <c r="XA4" s="22" t="s">
        <v>768</v>
      </c>
      <c r="XB4" s="22" t="s">
        <v>768</v>
      </c>
      <c r="XC4" s="22" t="s">
        <v>768</v>
      </c>
      <c r="XD4" s="22" t="s">
        <v>768</v>
      </c>
      <c r="XE4" s="22" t="s">
        <v>768</v>
      </c>
      <c r="XF4" s="22" t="s">
        <v>768</v>
      </c>
      <c r="XG4" s="22" t="s">
        <v>768</v>
      </c>
      <c r="XH4" s="22" t="s">
        <v>768</v>
      </c>
      <c r="XI4" s="22" t="s">
        <v>768</v>
      </c>
      <c r="XJ4" s="22" t="s">
        <v>768</v>
      </c>
      <c r="XK4" s="22" t="s">
        <v>768</v>
      </c>
      <c r="XU4" s="22" t="s">
        <v>768</v>
      </c>
      <c r="XV4" s="22" t="s">
        <v>768</v>
      </c>
      <c r="XW4" s="22" t="s">
        <v>768</v>
      </c>
      <c r="XX4" s="22" t="s">
        <v>768</v>
      </c>
      <c r="XY4" s="22" t="s">
        <v>768</v>
      </c>
      <c r="XZ4" s="22" t="s">
        <v>768</v>
      </c>
      <c r="YA4" s="22" t="s">
        <v>768</v>
      </c>
      <c r="YC4" s="22" t="s">
        <v>768</v>
      </c>
      <c r="YD4" s="22" t="s">
        <v>768</v>
      </c>
      <c r="YE4" s="22" t="s">
        <v>768</v>
      </c>
      <c r="YS4" s="22" t="s">
        <v>768</v>
      </c>
      <c r="YT4" s="22" t="s">
        <v>768</v>
      </c>
      <c r="YU4" s="22" t="s">
        <v>768</v>
      </c>
      <c r="YV4" s="22" t="s">
        <v>768</v>
      </c>
      <c r="YW4" s="22" t="s">
        <v>768</v>
      </c>
      <c r="YX4" s="22" t="s">
        <v>768</v>
      </c>
      <c r="YY4" s="22" t="s">
        <v>768</v>
      </c>
      <c r="YZ4" s="22" t="s">
        <v>768</v>
      </c>
      <c r="ZA4" s="22" t="s">
        <v>768</v>
      </c>
      <c r="ZB4" s="22" t="s">
        <v>768</v>
      </c>
      <c r="ZC4" s="22" t="s">
        <v>768</v>
      </c>
      <c r="ZD4" s="22" t="s">
        <v>768</v>
      </c>
      <c r="ZE4" s="22" t="s">
        <v>768</v>
      </c>
      <c r="ZF4" s="22" t="s">
        <v>768</v>
      </c>
      <c r="ZG4" s="22" t="s">
        <v>768</v>
      </c>
      <c r="ZH4" s="22" t="s">
        <v>768</v>
      </c>
      <c r="ZS4" s="22" t="s">
        <v>768</v>
      </c>
      <c r="ZT4" s="22" t="s">
        <v>768</v>
      </c>
      <c r="ZU4" s="22" t="s">
        <v>768</v>
      </c>
      <c r="ZV4" s="22" t="s">
        <v>768</v>
      </c>
      <c r="ZW4" s="22" t="s">
        <v>768</v>
      </c>
      <c r="ZX4" s="22" t="s">
        <v>768</v>
      </c>
      <c r="ZY4" s="22" t="s">
        <v>768</v>
      </c>
      <c r="ZZ4" s="22" t="s">
        <v>849</v>
      </c>
      <c r="AAA4" s="22" t="s">
        <v>768</v>
      </c>
      <c r="AAB4" s="22" t="s">
        <v>768</v>
      </c>
    </row>
    <row r="5" spans="1:724" x14ac:dyDescent="0.3">
      <c r="A5" s="22">
        <v>4</v>
      </c>
      <c r="B5" s="22">
        <v>4</v>
      </c>
      <c r="C5" s="23">
        <v>44361.371910682872</v>
      </c>
      <c r="D5" s="23">
        <v>44361.373084606479</v>
      </c>
      <c r="E5" s="22" t="s">
        <v>761</v>
      </c>
      <c r="J5" s="22" t="s">
        <v>762</v>
      </c>
      <c r="K5" s="22" t="s">
        <v>763</v>
      </c>
      <c r="T5" s="22" t="s">
        <v>786</v>
      </c>
      <c r="U5" s="22" t="s">
        <v>787</v>
      </c>
      <c r="V5" s="22" t="s">
        <v>788</v>
      </c>
      <c r="W5" s="22" t="s">
        <v>789</v>
      </c>
      <c r="X5" s="22" t="s">
        <v>790</v>
      </c>
      <c r="AF5" s="22" t="s">
        <v>768</v>
      </c>
      <c r="AG5" s="22" t="s">
        <v>768</v>
      </c>
      <c r="AH5" s="22" t="s">
        <v>768</v>
      </c>
      <c r="AI5" s="22" t="s">
        <v>768</v>
      </c>
      <c r="AJ5" s="22" t="s">
        <v>768</v>
      </c>
      <c r="AK5" s="22" t="s">
        <v>768</v>
      </c>
      <c r="AL5" s="22" t="s">
        <v>768</v>
      </c>
      <c r="AV5" s="22" t="s">
        <v>768</v>
      </c>
      <c r="AW5" s="22" t="s">
        <v>768</v>
      </c>
      <c r="AX5" s="22" t="s">
        <v>768</v>
      </c>
      <c r="AY5" s="22" t="s">
        <v>768</v>
      </c>
      <c r="AZ5" s="22" t="s">
        <v>768</v>
      </c>
      <c r="BA5" s="22" t="s">
        <v>768</v>
      </c>
      <c r="BB5" s="22" t="s">
        <v>768</v>
      </c>
      <c r="BC5" s="22" t="s">
        <v>768</v>
      </c>
      <c r="BD5" s="22" t="s">
        <v>768</v>
      </c>
      <c r="BL5" s="22" t="s">
        <v>768</v>
      </c>
      <c r="BM5" s="22" t="s">
        <v>768</v>
      </c>
      <c r="BN5" s="22" t="s">
        <v>768</v>
      </c>
      <c r="BO5" s="22" t="s">
        <v>768</v>
      </c>
      <c r="BP5" s="22" t="s">
        <v>768</v>
      </c>
      <c r="BQ5" s="22" t="s">
        <v>768</v>
      </c>
      <c r="BR5" s="22" t="s">
        <v>768</v>
      </c>
      <c r="BX5" s="22" t="s">
        <v>768</v>
      </c>
      <c r="BY5" s="22" t="s">
        <v>768</v>
      </c>
      <c r="BZ5" s="22" t="s">
        <v>768</v>
      </c>
      <c r="CL5" s="22">
        <v>3</v>
      </c>
      <c r="CM5" s="22">
        <v>3</v>
      </c>
      <c r="DF5" s="22">
        <v>3</v>
      </c>
      <c r="FV5" s="22">
        <v>2</v>
      </c>
      <c r="SS5" s="22" t="s">
        <v>849</v>
      </c>
      <c r="WE5" s="22">
        <v>2</v>
      </c>
      <c r="XI5" s="22" t="s">
        <v>849</v>
      </c>
    </row>
    <row r="6" spans="1:724" x14ac:dyDescent="0.3">
      <c r="A6" s="22">
        <v>5</v>
      </c>
      <c r="B6" s="22">
        <v>5</v>
      </c>
      <c r="C6" s="23">
        <v>44361.385740891201</v>
      </c>
      <c r="T6" s="22" t="s">
        <v>791</v>
      </c>
      <c r="U6" s="22" t="s">
        <v>787</v>
      </c>
      <c r="V6" s="22" t="s">
        <v>788</v>
      </c>
      <c r="W6" s="22" t="s">
        <v>789</v>
      </c>
      <c r="X6" s="22" t="s">
        <v>790</v>
      </c>
      <c r="DL6" s="22" t="s">
        <v>1089</v>
      </c>
      <c r="TD6" s="22">
        <v>3</v>
      </c>
    </row>
    <row r="7" spans="1:724" x14ac:dyDescent="0.3">
      <c r="A7" s="22">
        <v>6</v>
      </c>
      <c r="B7" s="22">
        <v>6</v>
      </c>
      <c r="C7" s="23">
        <v>44361.768049652776</v>
      </c>
      <c r="D7" s="23">
        <v>44361.769814155094</v>
      </c>
      <c r="E7" s="22" t="s">
        <v>774</v>
      </c>
      <c r="J7" s="22" t="s">
        <v>792</v>
      </c>
      <c r="K7" s="22" t="s">
        <v>793</v>
      </c>
      <c r="T7" s="22" t="s">
        <v>794</v>
      </c>
      <c r="U7" s="22" t="s">
        <v>765</v>
      </c>
      <c r="V7" s="22" t="s">
        <v>795</v>
      </c>
      <c r="W7" s="22" t="s">
        <v>795</v>
      </c>
      <c r="X7" s="22" t="s">
        <v>796</v>
      </c>
      <c r="Y7" s="22">
        <v>1</v>
      </c>
      <c r="Z7" s="22">
        <v>2</v>
      </c>
      <c r="AA7" s="22">
        <v>3</v>
      </c>
      <c r="AB7" s="22">
        <v>2</v>
      </c>
      <c r="AC7" s="22">
        <v>1</v>
      </c>
      <c r="AD7" s="22">
        <v>2</v>
      </c>
      <c r="AE7" s="22">
        <v>2</v>
      </c>
      <c r="AF7" s="22" t="s">
        <v>768</v>
      </c>
      <c r="AG7" s="22" t="s">
        <v>768</v>
      </c>
      <c r="AH7" s="22" t="s">
        <v>768</v>
      </c>
      <c r="AI7" s="22" t="s">
        <v>768</v>
      </c>
      <c r="AJ7" s="22" t="s">
        <v>768</v>
      </c>
      <c r="AK7" s="22" t="s">
        <v>768</v>
      </c>
      <c r="AL7" s="22" t="s">
        <v>768</v>
      </c>
      <c r="AV7" s="22" t="s">
        <v>768</v>
      </c>
      <c r="AW7" s="22" t="s">
        <v>768</v>
      </c>
      <c r="AX7" s="22" t="s">
        <v>768</v>
      </c>
      <c r="AY7" s="22" t="s">
        <v>768</v>
      </c>
      <c r="AZ7" s="22" t="s">
        <v>768</v>
      </c>
      <c r="BA7" s="22" t="s">
        <v>768</v>
      </c>
      <c r="BB7" s="22" t="s">
        <v>768</v>
      </c>
      <c r="BC7" s="22" t="s">
        <v>768</v>
      </c>
      <c r="BD7" s="22" t="s">
        <v>768</v>
      </c>
      <c r="BL7" s="22" t="s">
        <v>768</v>
      </c>
      <c r="BM7" s="22" t="s">
        <v>768</v>
      </c>
      <c r="BN7" s="22" t="s">
        <v>768</v>
      </c>
      <c r="BO7" s="22" t="s">
        <v>768</v>
      </c>
      <c r="BP7" s="22" t="s">
        <v>768</v>
      </c>
      <c r="BQ7" s="22" t="s">
        <v>768</v>
      </c>
      <c r="BR7" s="22" t="s">
        <v>768</v>
      </c>
      <c r="BX7" s="22" t="s">
        <v>768</v>
      </c>
      <c r="BY7" s="22" t="s">
        <v>768</v>
      </c>
      <c r="BZ7" s="22" t="s">
        <v>768</v>
      </c>
      <c r="CA7" s="22" t="s">
        <v>768</v>
      </c>
      <c r="CB7" s="22" t="s">
        <v>768</v>
      </c>
      <c r="CC7" s="22" t="s">
        <v>768</v>
      </c>
      <c r="CN7" s="22" t="s">
        <v>768</v>
      </c>
      <c r="CO7" s="22" t="s">
        <v>768</v>
      </c>
      <c r="CP7" s="22" t="s">
        <v>768</v>
      </c>
      <c r="CQ7" s="22" t="s">
        <v>768</v>
      </c>
      <c r="CR7" s="22" t="s">
        <v>768</v>
      </c>
      <c r="CS7" s="22" t="s">
        <v>768</v>
      </c>
      <c r="CT7" s="22" t="s">
        <v>768</v>
      </c>
      <c r="CU7" s="22" t="s">
        <v>768</v>
      </c>
      <c r="CV7" s="22" t="s">
        <v>768</v>
      </c>
      <c r="CW7" s="22" t="s">
        <v>768</v>
      </c>
      <c r="CX7" s="22" t="s">
        <v>768</v>
      </c>
      <c r="CY7" s="22" t="s">
        <v>768</v>
      </c>
      <c r="DI7" s="22" t="s">
        <v>768</v>
      </c>
      <c r="DJ7" s="22" t="s">
        <v>768</v>
      </c>
      <c r="DK7" s="22" t="s">
        <v>768</v>
      </c>
      <c r="DL7" s="22" t="s">
        <v>768</v>
      </c>
      <c r="DM7" s="22" t="s">
        <v>768</v>
      </c>
      <c r="DN7" s="22" t="s">
        <v>1090</v>
      </c>
      <c r="DO7" s="22" t="s">
        <v>768</v>
      </c>
      <c r="DQ7" s="22" t="s">
        <v>768</v>
      </c>
      <c r="DR7" s="22" t="s">
        <v>768</v>
      </c>
      <c r="DS7" s="22" t="s">
        <v>768</v>
      </c>
      <c r="DW7" s="22">
        <v>2</v>
      </c>
      <c r="ED7" s="22" t="s">
        <v>768</v>
      </c>
      <c r="EE7" s="22" t="s">
        <v>768</v>
      </c>
      <c r="EF7" s="22" t="s">
        <v>768</v>
      </c>
      <c r="EG7" s="22" t="s">
        <v>768</v>
      </c>
      <c r="EH7" s="22" t="s">
        <v>768</v>
      </c>
      <c r="EI7" s="22" t="s">
        <v>768</v>
      </c>
      <c r="EJ7" s="22" t="s">
        <v>768</v>
      </c>
      <c r="EK7" s="22" t="s">
        <v>768</v>
      </c>
      <c r="EL7" s="22" t="s">
        <v>768</v>
      </c>
      <c r="EM7" s="22" t="s">
        <v>768</v>
      </c>
      <c r="IO7" s="22" t="s">
        <v>768</v>
      </c>
      <c r="IP7" s="22" t="s">
        <v>768</v>
      </c>
      <c r="IQ7" s="22" t="s">
        <v>768</v>
      </c>
      <c r="JC7" s="22" t="s">
        <v>768</v>
      </c>
      <c r="JD7" s="22" t="s">
        <v>768</v>
      </c>
      <c r="JE7" s="22" t="s">
        <v>768</v>
      </c>
      <c r="JF7" s="22" t="s">
        <v>768</v>
      </c>
      <c r="JG7" s="22" t="s">
        <v>768</v>
      </c>
      <c r="JH7" s="22" t="s">
        <v>768</v>
      </c>
      <c r="JI7" s="22" t="s">
        <v>768</v>
      </c>
      <c r="JJ7" s="22" t="s">
        <v>768</v>
      </c>
      <c r="JK7" s="22" t="s">
        <v>768</v>
      </c>
      <c r="JL7" s="22" t="s">
        <v>768</v>
      </c>
      <c r="JM7" s="22" t="s">
        <v>768</v>
      </c>
      <c r="JN7" s="22" t="s">
        <v>768</v>
      </c>
      <c r="JO7" s="22" t="s">
        <v>768</v>
      </c>
      <c r="JP7" s="22" t="s">
        <v>768</v>
      </c>
      <c r="JZ7" s="22" t="s">
        <v>768</v>
      </c>
      <c r="KA7" s="22" t="s">
        <v>768</v>
      </c>
      <c r="KB7" s="22" t="s">
        <v>768</v>
      </c>
      <c r="KC7" s="22" t="s">
        <v>768</v>
      </c>
      <c r="KD7" s="22" t="s">
        <v>768</v>
      </c>
      <c r="KE7" s="22" t="s">
        <v>768</v>
      </c>
      <c r="KF7" s="22" t="s">
        <v>768</v>
      </c>
      <c r="KG7" s="22" t="s">
        <v>768</v>
      </c>
      <c r="KH7" s="22" t="s">
        <v>768</v>
      </c>
      <c r="NK7" s="22" t="s">
        <v>768</v>
      </c>
      <c r="NL7" s="22" t="s">
        <v>768</v>
      </c>
      <c r="OA7" s="22" t="s">
        <v>768</v>
      </c>
      <c r="OB7" s="22" t="s">
        <v>768</v>
      </c>
      <c r="OC7" s="22" t="s">
        <v>768</v>
      </c>
      <c r="OD7" s="22" t="s">
        <v>768</v>
      </c>
      <c r="OE7" s="22" t="s">
        <v>768</v>
      </c>
      <c r="OF7" s="22" t="s">
        <v>768</v>
      </c>
      <c r="OG7" s="22" t="s">
        <v>768</v>
      </c>
      <c r="OH7" s="22" t="s">
        <v>768</v>
      </c>
      <c r="OI7" s="22" t="s">
        <v>768</v>
      </c>
      <c r="OJ7" s="22" t="s">
        <v>768</v>
      </c>
      <c r="OK7" s="22" t="s">
        <v>768</v>
      </c>
      <c r="OL7" s="22" t="s">
        <v>768</v>
      </c>
      <c r="ON7" s="22" t="s">
        <v>768</v>
      </c>
      <c r="OO7" s="22" t="s">
        <v>768</v>
      </c>
      <c r="OZ7" s="22" t="s">
        <v>768</v>
      </c>
      <c r="PA7" s="22" t="s">
        <v>768</v>
      </c>
      <c r="PB7" s="22" t="s">
        <v>768</v>
      </c>
      <c r="PC7" s="22" t="s">
        <v>768</v>
      </c>
      <c r="PD7" s="22" t="s">
        <v>768</v>
      </c>
      <c r="PE7" s="22" t="s">
        <v>768</v>
      </c>
      <c r="PF7" s="22" t="s">
        <v>768</v>
      </c>
      <c r="PG7" s="22" t="s">
        <v>768</v>
      </c>
      <c r="TL7" s="22" t="s">
        <v>1109</v>
      </c>
    </row>
    <row r="8" spans="1:724" x14ac:dyDescent="0.3">
      <c r="A8" s="22">
        <v>7</v>
      </c>
      <c r="B8" s="22">
        <v>7</v>
      </c>
      <c r="C8" s="23">
        <v>44362.080997534722</v>
      </c>
      <c r="D8" s="23">
        <v>44362.084778240744</v>
      </c>
      <c r="E8" s="22" t="s">
        <v>774</v>
      </c>
      <c r="J8" s="22" t="s">
        <v>797</v>
      </c>
      <c r="K8" s="22" t="s">
        <v>798</v>
      </c>
      <c r="T8" s="22" t="s">
        <v>799</v>
      </c>
      <c r="U8" s="22" t="s">
        <v>800</v>
      </c>
      <c r="V8" s="22" t="s">
        <v>788</v>
      </c>
      <c r="W8" s="22" t="s">
        <v>789</v>
      </c>
      <c r="X8" s="22" t="s">
        <v>790</v>
      </c>
      <c r="Z8" s="22">
        <v>1</v>
      </c>
      <c r="AA8" s="22">
        <v>2</v>
      </c>
      <c r="AF8" s="22" t="s">
        <v>768</v>
      </c>
      <c r="AG8" s="22" t="s">
        <v>768</v>
      </c>
      <c r="AH8" s="22" t="s">
        <v>768</v>
      </c>
      <c r="AI8" s="22" t="s">
        <v>768</v>
      </c>
      <c r="AJ8" s="22" t="s">
        <v>768</v>
      </c>
      <c r="AK8" s="22" t="s">
        <v>768</v>
      </c>
      <c r="AL8" s="22" t="s">
        <v>768</v>
      </c>
      <c r="AV8" s="22" t="s">
        <v>768</v>
      </c>
      <c r="AW8" s="22" t="s">
        <v>768</v>
      </c>
      <c r="AX8" s="22" t="s">
        <v>768</v>
      </c>
      <c r="AY8" s="22" t="s">
        <v>768</v>
      </c>
      <c r="AZ8" s="22" t="s">
        <v>768</v>
      </c>
      <c r="BA8" s="22" t="s">
        <v>768</v>
      </c>
      <c r="BB8" s="22" t="s">
        <v>768</v>
      </c>
      <c r="BC8" s="22" t="s">
        <v>768</v>
      </c>
      <c r="BD8" s="22" t="s">
        <v>768</v>
      </c>
      <c r="BE8" s="22">
        <v>1</v>
      </c>
      <c r="BL8" s="22" t="s">
        <v>768</v>
      </c>
      <c r="BM8" s="22" t="s">
        <v>768</v>
      </c>
      <c r="BN8" s="22" t="s">
        <v>768</v>
      </c>
      <c r="BO8" s="22" t="s">
        <v>768</v>
      </c>
      <c r="BP8" s="22" t="s">
        <v>768</v>
      </c>
      <c r="BQ8" s="22" t="s">
        <v>768</v>
      </c>
      <c r="BR8" s="22" t="s">
        <v>768</v>
      </c>
      <c r="BT8" s="22">
        <v>3</v>
      </c>
      <c r="BX8" s="22" t="s">
        <v>768</v>
      </c>
      <c r="BY8" s="22" t="s">
        <v>768</v>
      </c>
      <c r="BZ8" s="22" t="s">
        <v>768</v>
      </c>
      <c r="HC8" s="22" t="s">
        <v>768</v>
      </c>
      <c r="HD8" s="22" t="s">
        <v>768</v>
      </c>
      <c r="HE8" s="22" t="s">
        <v>768</v>
      </c>
      <c r="HN8" s="22" t="s">
        <v>768</v>
      </c>
      <c r="HO8" s="22" t="s">
        <v>768</v>
      </c>
      <c r="HP8" s="22" t="s">
        <v>768</v>
      </c>
      <c r="HQ8" s="22" t="s">
        <v>768</v>
      </c>
      <c r="HR8" s="22" t="s">
        <v>768</v>
      </c>
      <c r="HS8" s="22" t="s">
        <v>768</v>
      </c>
      <c r="HT8" s="22" t="s">
        <v>768</v>
      </c>
      <c r="HU8" s="22" t="s">
        <v>768</v>
      </c>
      <c r="WM8" s="22" t="s">
        <v>768</v>
      </c>
      <c r="WN8" s="22" t="s">
        <v>768</v>
      </c>
      <c r="WO8" s="22" t="s">
        <v>768</v>
      </c>
      <c r="WZ8" s="22" t="s">
        <v>768</v>
      </c>
      <c r="XA8" s="22" t="s">
        <v>768</v>
      </c>
      <c r="XB8" s="22" t="s">
        <v>768</v>
      </c>
      <c r="XC8" s="22" t="s">
        <v>768</v>
      </c>
      <c r="XD8" s="22" t="s">
        <v>768</v>
      </c>
      <c r="XE8" s="22" t="s">
        <v>768</v>
      </c>
      <c r="XF8" s="22" t="s">
        <v>768</v>
      </c>
      <c r="XG8" s="22" t="s">
        <v>768</v>
      </c>
      <c r="XH8" s="22" t="s">
        <v>768</v>
      </c>
      <c r="XI8" s="22" t="s">
        <v>768</v>
      </c>
    </row>
    <row r="9" spans="1:724" x14ac:dyDescent="0.3">
      <c r="A9" s="22">
        <v>8</v>
      </c>
      <c r="B9" s="22">
        <v>8</v>
      </c>
      <c r="C9" s="23">
        <v>44362.383444942127</v>
      </c>
      <c r="D9" s="23">
        <v>44362.383967511574</v>
      </c>
      <c r="E9" s="22" t="s">
        <v>774</v>
      </c>
      <c r="J9" s="22" t="s">
        <v>801</v>
      </c>
      <c r="K9" s="41">
        <v>2.9166666666666664E-2</v>
      </c>
      <c r="T9" s="22" t="s">
        <v>802</v>
      </c>
      <c r="U9" s="22" t="s">
        <v>787</v>
      </c>
      <c r="V9" s="22" t="s">
        <v>803</v>
      </c>
      <c r="W9" s="22" t="s">
        <v>804</v>
      </c>
      <c r="X9" s="22" t="s">
        <v>805</v>
      </c>
      <c r="AF9" s="22" t="s">
        <v>768</v>
      </c>
      <c r="AG9" s="22" t="s">
        <v>768</v>
      </c>
      <c r="AH9" s="22" t="s">
        <v>768</v>
      </c>
      <c r="AI9" s="22" t="s">
        <v>768</v>
      </c>
      <c r="AJ9" s="22" t="s">
        <v>768</v>
      </c>
      <c r="AK9" s="22" t="s">
        <v>768</v>
      </c>
      <c r="AL9" s="22" t="s">
        <v>768</v>
      </c>
      <c r="AV9" s="22" t="s">
        <v>768</v>
      </c>
      <c r="AW9" s="22" t="s">
        <v>768</v>
      </c>
      <c r="AX9" s="22" t="s">
        <v>768</v>
      </c>
      <c r="AY9" s="22" t="s">
        <v>768</v>
      </c>
      <c r="AZ9" s="22" t="s">
        <v>768</v>
      </c>
      <c r="BA9" s="22" t="s">
        <v>768</v>
      </c>
      <c r="BB9" s="22" t="s">
        <v>768</v>
      </c>
      <c r="BC9" s="22" t="s">
        <v>768</v>
      </c>
      <c r="BD9" s="22" t="s">
        <v>768</v>
      </c>
      <c r="BL9" s="22" t="s">
        <v>768</v>
      </c>
      <c r="BM9" s="22" t="s">
        <v>768</v>
      </c>
      <c r="BN9" s="22" t="s">
        <v>768</v>
      </c>
      <c r="BO9" s="22" t="s">
        <v>768</v>
      </c>
      <c r="BP9" s="22" t="s">
        <v>768</v>
      </c>
      <c r="BQ9" s="22" t="s">
        <v>768</v>
      </c>
      <c r="BR9" s="22" t="s">
        <v>768</v>
      </c>
      <c r="BX9" s="22" t="s">
        <v>768</v>
      </c>
      <c r="BY9" s="22" t="s">
        <v>768</v>
      </c>
      <c r="BZ9" s="22" t="s">
        <v>768</v>
      </c>
    </row>
    <row r="10" spans="1:724" x14ac:dyDescent="0.3">
      <c r="A10" s="22">
        <v>9</v>
      </c>
      <c r="B10" s="22">
        <v>9</v>
      </c>
      <c r="C10" s="23">
        <v>44414.237998645833</v>
      </c>
      <c r="D10" s="23">
        <v>44414.250636111108</v>
      </c>
      <c r="E10" s="22" t="s">
        <v>774</v>
      </c>
      <c r="J10" s="22" t="s">
        <v>806</v>
      </c>
      <c r="K10" s="22" t="s">
        <v>807</v>
      </c>
      <c r="T10" s="22" t="s">
        <v>808</v>
      </c>
      <c r="U10" s="22" t="s">
        <v>800</v>
      </c>
      <c r="V10" s="22" t="s">
        <v>788</v>
      </c>
      <c r="W10" s="22" t="s">
        <v>789</v>
      </c>
      <c r="X10" s="22" t="s">
        <v>809</v>
      </c>
      <c r="Y10" s="22">
        <v>3</v>
      </c>
      <c r="Z10" s="22">
        <v>3</v>
      </c>
      <c r="AA10" s="22">
        <v>3</v>
      </c>
      <c r="AB10" s="22">
        <v>3</v>
      </c>
      <c r="AC10" s="22">
        <v>3</v>
      </c>
      <c r="AD10" s="22">
        <v>3</v>
      </c>
      <c r="AE10" s="22">
        <v>3</v>
      </c>
      <c r="AF10" s="22" t="s">
        <v>768</v>
      </c>
      <c r="AG10" s="22" t="s">
        <v>768</v>
      </c>
      <c r="AH10" s="22" t="s">
        <v>768</v>
      </c>
      <c r="AI10" s="22" t="s">
        <v>768</v>
      </c>
      <c r="AJ10" s="22" t="s">
        <v>768</v>
      </c>
      <c r="AK10" s="22" t="s">
        <v>768</v>
      </c>
      <c r="AL10" s="22" t="s">
        <v>768</v>
      </c>
      <c r="AM10" s="22">
        <v>1</v>
      </c>
      <c r="AN10" s="22">
        <v>1</v>
      </c>
      <c r="AO10" s="22">
        <v>1</v>
      </c>
      <c r="AP10" s="22">
        <v>1</v>
      </c>
      <c r="AQ10" s="22">
        <v>1</v>
      </c>
      <c r="AR10" s="22">
        <v>1</v>
      </c>
      <c r="AS10" s="22">
        <v>1</v>
      </c>
      <c r="AT10" s="22">
        <v>1</v>
      </c>
      <c r="AU10" s="22">
        <v>1</v>
      </c>
      <c r="AV10" s="22" t="s">
        <v>768</v>
      </c>
      <c r="AW10" s="22" t="s">
        <v>768</v>
      </c>
      <c r="AX10" s="22" t="s">
        <v>768</v>
      </c>
      <c r="AY10" s="22" t="s">
        <v>768</v>
      </c>
      <c r="AZ10" s="22" t="s">
        <v>768</v>
      </c>
      <c r="BA10" s="22" t="s">
        <v>768</v>
      </c>
      <c r="BB10" s="22" t="s">
        <v>768</v>
      </c>
      <c r="BC10" s="22" t="s">
        <v>768</v>
      </c>
      <c r="BD10" s="22" t="s">
        <v>768</v>
      </c>
      <c r="BE10" s="22">
        <v>1</v>
      </c>
      <c r="BF10" s="22">
        <v>1</v>
      </c>
      <c r="BG10" s="22">
        <v>1</v>
      </c>
      <c r="BH10" s="22">
        <v>1</v>
      </c>
      <c r="BI10" s="22">
        <v>1</v>
      </c>
      <c r="BJ10" s="22">
        <v>1</v>
      </c>
      <c r="BK10" s="22">
        <v>1</v>
      </c>
      <c r="BL10" s="22" t="s">
        <v>768</v>
      </c>
      <c r="BM10" s="22" t="s">
        <v>768</v>
      </c>
      <c r="BN10" s="22" t="s">
        <v>768</v>
      </c>
      <c r="BO10" s="22" t="s">
        <v>768</v>
      </c>
      <c r="BP10" s="22" t="s">
        <v>768</v>
      </c>
      <c r="BQ10" s="22" t="s">
        <v>768</v>
      </c>
      <c r="BR10" s="22" t="s">
        <v>768</v>
      </c>
      <c r="BS10" s="22">
        <v>1</v>
      </c>
      <c r="BT10" s="22">
        <v>1</v>
      </c>
      <c r="BW10" s="22" t="s">
        <v>768</v>
      </c>
      <c r="BX10" s="22" t="s">
        <v>768</v>
      </c>
      <c r="BY10" s="22" t="s">
        <v>768</v>
      </c>
      <c r="BZ10" s="22" t="s">
        <v>768</v>
      </c>
      <c r="CA10" s="22" t="s">
        <v>768</v>
      </c>
      <c r="CB10" s="22" t="s">
        <v>768</v>
      </c>
      <c r="CC10" s="22" t="s">
        <v>768</v>
      </c>
      <c r="CN10" s="22" t="s">
        <v>768</v>
      </c>
      <c r="CO10" s="22" t="s">
        <v>768</v>
      </c>
      <c r="CP10" s="22" t="s">
        <v>768</v>
      </c>
      <c r="CQ10" s="22" t="s">
        <v>768</v>
      </c>
      <c r="CR10" s="22" t="s">
        <v>768</v>
      </c>
      <c r="CS10" s="22" t="s">
        <v>768</v>
      </c>
      <c r="CT10" s="22" t="s">
        <v>768</v>
      </c>
      <c r="CU10" s="22" t="s">
        <v>768</v>
      </c>
      <c r="CV10" s="22" t="s">
        <v>768</v>
      </c>
      <c r="CW10" s="22" t="s">
        <v>768</v>
      </c>
      <c r="CX10" s="22" t="s">
        <v>768</v>
      </c>
      <c r="CY10" s="22" t="s">
        <v>768</v>
      </c>
      <c r="CZ10" s="22" t="s">
        <v>768</v>
      </c>
      <c r="DI10" s="22" t="s">
        <v>768</v>
      </c>
      <c r="DJ10" s="22" t="s">
        <v>768</v>
      </c>
      <c r="DK10" s="22" t="s">
        <v>768</v>
      </c>
      <c r="DL10" s="22" t="s">
        <v>768</v>
      </c>
      <c r="DM10" s="22" t="s">
        <v>768</v>
      </c>
      <c r="DN10" s="22" t="s">
        <v>768</v>
      </c>
      <c r="DO10" s="22" t="s">
        <v>768</v>
      </c>
      <c r="DP10" s="22" t="s">
        <v>1091</v>
      </c>
      <c r="DQ10" s="22" t="s">
        <v>768</v>
      </c>
      <c r="DR10" s="22" t="s">
        <v>768</v>
      </c>
      <c r="DS10" s="22" t="s">
        <v>768</v>
      </c>
      <c r="ED10" s="22" t="s">
        <v>768</v>
      </c>
      <c r="EE10" s="22" t="s">
        <v>768</v>
      </c>
      <c r="EF10" s="22" t="s">
        <v>768</v>
      </c>
      <c r="EG10" s="22" t="s">
        <v>768</v>
      </c>
      <c r="EH10" s="22" t="s">
        <v>768</v>
      </c>
      <c r="EI10" s="22" t="s">
        <v>768</v>
      </c>
      <c r="EJ10" s="22" t="s">
        <v>768</v>
      </c>
      <c r="EK10" s="22" t="s">
        <v>768</v>
      </c>
      <c r="EL10" s="22" t="s">
        <v>768</v>
      </c>
      <c r="EM10" s="22" t="s">
        <v>768</v>
      </c>
      <c r="EN10" s="22" t="s">
        <v>768</v>
      </c>
      <c r="EO10" s="22" t="s">
        <v>768</v>
      </c>
      <c r="EP10" s="22" t="s">
        <v>768</v>
      </c>
      <c r="FA10" s="22" t="s">
        <v>768</v>
      </c>
      <c r="FB10" s="22" t="s">
        <v>768</v>
      </c>
      <c r="FC10" s="22" t="s">
        <v>768</v>
      </c>
      <c r="FD10" s="22" t="s">
        <v>768</v>
      </c>
      <c r="FE10" s="22" t="s">
        <v>768</v>
      </c>
      <c r="FF10" s="22" t="s">
        <v>768</v>
      </c>
      <c r="FG10" s="22" t="s">
        <v>768</v>
      </c>
      <c r="FH10" s="22" t="s">
        <v>768</v>
      </c>
      <c r="FI10" s="22" t="s">
        <v>768</v>
      </c>
      <c r="FJ10" s="22" t="s">
        <v>768</v>
      </c>
      <c r="FK10" s="22" t="s">
        <v>768</v>
      </c>
      <c r="FL10" s="22" t="s">
        <v>768</v>
      </c>
      <c r="FM10" s="22" t="s">
        <v>768</v>
      </c>
      <c r="FY10" s="22" t="s">
        <v>768</v>
      </c>
      <c r="FZ10" s="22" t="s">
        <v>768</v>
      </c>
      <c r="GA10" s="22" t="s">
        <v>768</v>
      </c>
      <c r="GB10" s="22" t="s">
        <v>768</v>
      </c>
      <c r="GC10" s="22" t="s">
        <v>768</v>
      </c>
      <c r="GD10" s="22" t="s">
        <v>768</v>
      </c>
      <c r="GE10" s="22" t="s">
        <v>768</v>
      </c>
      <c r="GF10" s="22" t="s">
        <v>768</v>
      </c>
      <c r="GG10" s="22" t="s">
        <v>768</v>
      </c>
      <c r="GH10" s="22" t="s">
        <v>768</v>
      </c>
      <c r="GI10" s="22" t="s">
        <v>768</v>
      </c>
      <c r="GJ10" s="22" t="s">
        <v>768</v>
      </c>
      <c r="GK10" s="22" t="s">
        <v>768</v>
      </c>
      <c r="GL10" s="22" t="s">
        <v>768</v>
      </c>
      <c r="GU10" s="22" t="s">
        <v>768</v>
      </c>
      <c r="GV10" s="22" t="s">
        <v>768</v>
      </c>
      <c r="GW10" s="22" t="s">
        <v>768</v>
      </c>
      <c r="GX10" s="22" t="s">
        <v>768</v>
      </c>
      <c r="GY10" s="22" t="s">
        <v>768</v>
      </c>
      <c r="GZ10" s="22" t="s">
        <v>768</v>
      </c>
      <c r="HA10" s="22" t="s">
        <v>768</v>
      </c>
      <c r="HB10" s="22" t="s">
        <v>768</v>
      </c>
      <c r="HC10" s="22" t="s">
        <v>768</v>
      </c>
      <c r="HD10" s="22" t="s">
        <v>768</v>
      </c>
      <c r="HE10" s="22" t="s">
        <v>768</v>
      </c>
      <c r="HN10" s="22" t="s">
        <v>768</v>
      </c>
      <c r="HO10" s="22" t="s">
        <v>768</v>
      </c>
      <c r="HP10" s="22" t="s">
        <v>768</v>
      </c>
      <c r="HQ10" s="22" t="s">
        <v>768</v>
      </c>
      <c r="HR10" s="22" t="s">
        <v>768</v>
      </c>
      <c r="HS10" s="22" t="s">
        <v>768</v>
      </c>
      <c r="HT10" s="22" t="s">
        <v>768</v>
      </c>
      <c r="HU10" s="22" t="s">
        <v>768</v>
      </c>
      <c r="HV10" s="22" t="s">
        <v>768</v>
      </c>
      <c r="HW10" s="22" t="s">
        <v>768</v>
      </c>
      <c r="HX10" s="22" t="s">
        <v>768</v>
      </c>
      <c r="IG10" s="22" t="s">
        <v>768</v>
      </c>
      <c r="IH10" s="22" t="s">
        <v>768</v>
      </c>
      <c r="II10" s="22" t="s">
        <v>768</v>
      </c>
      <c r="IJ10" s="22" t="s">
        <v>768</v>
      </c>
      <c r="IK10" s="22" t="s">
        <v>768</v>
      </c>
      <c r="IL10" s="22" t="s">
        <v>768</v>
      </c>
      <c r="IM10" s="22" t="s">
        <v>768</v>
      </c>
      <c r="IN10" s="22" t="s">
        <v>768</v>
      </c>
      <c r="IO10" s="22" t="s">
        <v>768</v>
      </c>
      <c r="IP10" s="22" t="s">
        <v>768</v>
      </c>
      <c r="IQ10" s="22" t="s">
        <v>768</v>
      </c>
      <c r="JC10" s="22" t="s">
        <v>768</v>
      </c>
      <c r="JD10" s="22" t="s">
        <v>768</v>
      </c>
      <c r="JE10" s="22" t="s">
        <v>768</v>
      </c>
      <c r="JF10" s="22" t="s">
        <v>768</v>
      </c>
      <c r="JG10" s="22" t="s">
        <v>768</v>
      </c>
      <c r="JH10" s="22" t="s">
        <v>768</v>
      </c>
      <c r="JI10" s="22" t="s">
        <v>768</v>
      </c>
      <c r="JJ10" s="22" t="s">
        <v>768</v>
      </c>
      <c r="JK10" s="22" t="s">
        <v>768</v>
      </c>
      <c r="JL10" s="22" t="s">
        <v>768</v>
      </c>
      <c r="JM10" s="22" t="s">
        <v>768</v>
      </c>
      <c r="JN10" s="22" t="s">
        <v>768</v>
      </c>
      <c r="JO10" s="22" t="s">
        <v>768</v>
      </c>
      <c r="JP10" s="22" t="s">
        <v>768</v>
      </c>
      <c r="JZ10" s="22" t="s">
        <v>768</v>
      </c>
      <c r="KA10" s="22" t="s">
        <v>768</v>
      </c>
      <c r="KB10" s="22" t="s">
        <v>768</v>
      </c>
      <c r="KC10" s="22" t="s">
        <v>768</v>
      </c>
      <c r="KD10" s="22" t="s">
        <v>768</v>
      </c>
      <c r="KE10" s="22" t="s">
        <v>768</v>
      </c>
      <c r="KF10" s="22" t="s">
        <v>768</v>
      </c>
      <c r="KG10" s="22" t="s">
        <v>768</v>
      </c>
      <c r="KH10" s="22" t="s">
        <v>768</v>
      </c>
      <c r="KI10" s="22" t="s">
        <v>768</v>
      </c>
      <c r="KJ10" s="22" t="s">
        <v>768</v>
      </c>
      <c r="KK10" s="22" t="s">
        <v>768</v>
      </c>
      <c r="KZ10" s="22" t="s">
        <v>768</v>
      </c>
      <c r="LA10" s="22" t="s">
        <v>768</v>
      </c>
      <c r="LB10" s="22" t="s">
        <v>768</v>
      </c>
      <c r="LC10" s="22" t="s">
        <v>768</v>
      </c>
      <c r="LD10" s="22" t="s">
        <v>768</v>
      </c>
      <c r="LE10" s="22" t="s">
        <v>768</v>
      </c>
      <c r="LF10" s="22" t="s">
        <v>768</v>
      </c>
      <c r="LG10" s="22" t="s">
        <v>768</v>
      </c>
      <c r="LH10" s="22" t="s">
        <v>768</v>
      </c>
      <c r="LI10" s="22" t="s">
        <v>768</v>
      </c>
      <c r="LJ10" s="22" t="s">
        <v>768</v>
      </c>
      <c r="LK10" s="22" t="s">
        <v>768</v>
      </c>
      <c r="LL10" s="22" t="s">
        <v>768</v>
      </c>
      <c r="LM10" s="22" t="s">
        <v>768</v>
      </c>
      <c r="LN10" s="22" t="s">
        <v>768</v>
      </c>
      <c r="LO10" s="22" t="s">
        <v>768</v>
      </c>
      <c r="LP10" s="22" t="s">
        <v>768</v>
      </c>
      <c r="LW10" s="22" t="s">
        <v>768</v>
      </c>
      <c r="LX10" s="22" t="s">
        <v>768</v>
      </c>
      <c r="LY10" s="22" t="s">
        <v>768</v>
      </c>
      <c r="LZ10" s="22" t="s">
        <v>768</v>
      </c>
      <c r="MA10" s="22" t="s">
        <v>768</v>
      </c>
      <c r="MB10" s="22" t="s">
        <v>768</v>
      </c>
      <c r="MC10" s="22" t="s">
        <v>768</v>
      </c>
      <c r="MD10" s="22" t="s">
        <v>768</v>
      </c>
      <c r="ME10" s="22" t="s">
        <v>768</v>
      </c>
      <c r="MN10" s="22" t="s">
        <v>768</v>
      </c>
      <c r="MO10" s="22" t="s">
        <v>768</v>
      </c>
      <c r="MP10" s="22" t="s">
        <v>768</v>
      </c>
      <c r="MQ10" s="22" t="s">
        <v>768</v>
      </c>
      <c r="MR10" s="22" t="s">
        <v>768</v>
      </c>
      <c r="MS10" s="22" t="s">
        <v>768</v>
      </c>
      <c r="MT10" s="22" t="s">
        <v>768</v>
      </c>
      <c r="MU10" s="22" t="s">
        <v>768</v>
      </c>
      <c r="MV10" s="22" t="s">
        <v>768</v>
      </c>
      <c r="MW10" s="22" t="s">
        <v>768</v>
      </c>
      <c r="MX10" s="22" t="s">
        <v>768</v>
      </c>
      <c r="NE10" s="22" t="s">
        <v>768</v>
      </c>
      <c r="NF10" s="22" t="s">
        <v>768</v>
      </c>
      <c r="NG10" s="22" t="s">
        <v>768</v>
      </c>
      <c r="NH10" s="22" t="s">
        <v>768</v>
      </c>
      <c r="NI10" s="22" t="s">
        <v>768</v>
      </c>
      <c r="NJ10" s="22" t="s">
        <v>768</v>
      </c>
      <c r="NK10" s="22" t="s">
        <v>768</v>
      </c>
      <c r="NL10" s="22" t="s">
        <v>768</v>
      </c>
      <c r="NM10" s="22" t="s">
        <v>768</v>
      </c>
      <c r="OA10" s="22" t="s">
        <v>768</v>
      </c>
      <c r="OB10" s="22" t="s">
        <v>768</v>
      </c>
      <c r="OC10" s="22" t="s">
        <v>768</v>
      </c>
      <c r="OD10" s="22" t="s">
        <v>768</v>
      </c>
      <c r="OE10" s="22" t="s">
        <v>768</v>
      </c>
      <c r="OF10" s="22" t="s">
        <v>768</v>
      </c>
      <c r="OG10" s="22" t="s">
        <v>768</v>
      </c>
      <c r="OH10" s="22" t="s">
        <v>768</v>
      </c>
      <c r="OI10" s="22" t="s">
        <v>768</v>
      </c>
      <c r="OJ10" s="22" t="s">
        <v>768</v>
      </c>
      <c r="OK10" s="22" t="s">
        <v>768</v>
      </c>
      <c r="OL10" s="22" t="s">
        <v>768</v>
      </c>
      <c r="OM10" s="22" t="s">
        <v>768</v>
      </c>
      <c r="ON10" s="22" t="s">
        <v>768</v>
      </c>
      <c r="OO10" s="22" t="s">
        <v>768</v>
      </c>
      <c r="OP10" s="22" t="s">
        <v>768</v>
      </c>
      <c r="OZ10" s="22" t="s">
        <v>768</v>
      </c>
      <c r="PA10" s="22" t="s">
        <v>768</v>
      </c>
      <c r="PB10" s="22" t="s">
        <v>768</v>
      </c>
      <c r="PC10" s="22" t="s">
        <v>768</v>
      </c>
      <c r="PD10" s="22" t="s">
        <v>768</v>
      </c>
      <c r="PE10" s="22" t="s">
        <v>768</v>
      </c>
      <c r="PF10" s="22" t="s">
        <v>768</v>
      </c>
      <c r="PG10" s="22" t="s">
        <v>768</v>
      </c>
      <c r="PH10" s="22" t="s">
        <v>768</v>
      </c>
      <c r="PI10" s="22" t="s">
        <v>768</v>
      </c>
      <c r="PJ10" s="22" t="s">
        <v>768</v>
      </c>
      <c r="PK10" s="22" t="s">
        <v>768</v>
      </c>
      <c r="PW10" s="22" t="s">
        <v>768</v>
      </c>
      <c r="PX10" s="22" t="s">
        <v>768</v>
      </c>
      <c r="PY10" s="22" t="s">
        <v>768</v>
      </c>
      <c r="PZ10" s="22" t="s">
        <v>768</v>
      </c>
      <c r="QA10" s="22" t="s">
        <v>768</v>
      </c>
      <c r="QB10" s="22" t="s">
        <v>768</v>
      </c>
      <c r="QC10" s="22" t="s">
        <v>768</v>
      </c>
      <c r="QD10" s="22" t="s">
        <v>768</v>
      </c>
      <c r="QE10" s="22" t="s">
        <v>768</v>
      </c>
      <c r="QF10" s="22" t="s">
        <v>768</v>
      </c>
      <c r="QG10" s="22" t="s">
        <v>768</v>
      </c>
      <c r="QH10" s="22" t="s">
        <v>768</v>
      </c>
      <c r="QI10" s="22" t="s">
        <v>768</v>
      </c>
      <c r="QJ10" s="22" t="s">
        <v>768</v>
      </c>
      <c r="QX10" s="22" t="s">
        <v>768</v>
      </c>
      <c r="QY10" s="22" t="s">
        <v>768</v>
      </c>
      <c r="QZ10" s="22" t="s">
        <v>768</v>
      </c>
      <c r="RA10" s="22" t="s">
        <v>768</v>
      </c>
      <c r="RB10" s="22" t="s">
        <v>768</v>
      </c>
      <c r="RC10" s="22" t="s">
        <v>768</v>
      </c>
      <c r="RD10" s="22" t="s">
        <v>768</v>
      </c>
      <c r="RE10" s="22" t="s">
        <v>768</v>
      </c>
      <c r="RF10" s="22" t="s">
        <v>768</v>
      </c>
      <c r="RG10" s="22" t="s">
        <v>768</v>
      </c>
      <c r="RH10" s="22" t="s">
        <v>768</v>
      </c>
      <c r="RI10" s="22" t="s">
        <v>768</v>
      </c>
      <c r="RJ10" s="22" t="s">
        <v>768</v>
      </c>
      <c r="RK10" s="22" t="s">
        <v>768</v>
      </c>
      <c r="RL10" s="22" t="s">
        <v>768</v>
      </c>
      <c r="RM10" s="22" t="s">
        <v>768</v>
      </c>
      <c r="SD10" s="22" t="s">
        <v>768</v>
      </c>
      <c r="SE10" s="22" t="s">
        <v>768</v>
      </c>
      <c r="SF10" s="22" t="s">
        <v>768</v>
      </c>
      <c r="SG10" s="22" t="s">
        <v>768</v>
      </c>
      <c r="SH10" s="22" t="s">
        <v>768</v>
      </c>
      <c r="SI10" s="22" t="s">
        <v>768</v>
      </c>
      <c r="SJ10" s="22" t="s">
        <v>768</v>
      </c>
      <c r="SK10" s="22" t="s">
        <v>768</v>
      </c>
      <c r="SL10" s="22" t="s">
        <v>768</v>
      </c>
      <c r="SM10" s="22" t="s">
        <v>768</v>
      </c>
      <c r="SN10" s="22" t="s">
        <v>768</v>
      </c>
      <c r="SO10" s="22" t="s">
        <v>768</v>
      </c>
      <c r="SP10" s="22" t="s">
        <v>768</v>
      </c>
      <c r="SQ10" s="22" t="s">
        <v>768</v>
      </c>
      <c r="SR10" s="22" t="s">
        <v>768</v>
      </c>
      <c r="SS10" s="22" t="s">
        <v>768</v>
      </c>
      <c r="ST10" s="22" t="s">
        <v>768</v>
      </c>
      <c r="SU10" s="22" t="s">
        <v>768</v>
      </c>
      <c r="SV10" s="22" t="s">
        <v>768</v>
      </c>
      <c r="TE10" s="22" t="s">
        <v>768</v>
      </c>
      <c r="TF10" s="22" t="s">
        <v>768</v>
      </c>
      <c r="TG10" s="22" t="s">
        <v>768</v>
      </c>
      <c r="TH10" s="22" t="s">
        <v>768</v>
      </c>
      <c r="TI10" s="22" t="s">
        <v>768</v>
      </c>
      <c r="TJ10" s="22" t="s">
        <v>768</v>
      </c>
      <c r="TK10" s="22" t="s">
        <v>768</v>
      </c>
      <c r="TL10" s="22" t="s">
        <v>768</v>
      </c>
      <c r="TM10" s="22" t="s">
        <v>768</v>
      </c>
      <c r="TN10" s="22" t="s">
        <v>768</v>
      </c>
      <c r="TO10" s="22" t="s">
        <v>768</v>
      </c>
      <c r="TW10" s="22" t="s">
        <v>768</v>
      </c>
      <c r="TX10" s="22" t="s">
        <v>768</v>
      </c>
      <c r="TY10" s="22" t="s">
        <v>768</v>
      </c>
      <c r="TZ10" s="22" t="s">
        <v>768</v>
      </c>
      <c r="UA10" s="22" t="s">
        <v>768</v>
      </c>
      <c r="UB10" s="22" t="s">
        <v>768</v>
      </c>
      <c r="UC10" s="22" t="s">
        <v>768</v>
      </c>
      <c r="UD10" s="22" t="s">
        <v>768</v>
      </c>
      <c r="UE10" s="22" t="s">
        <v>768</v>
      </c>
      <c r="UF10" s="22" t="s">
        <v>768</v>
      </c>
      <c r="UN10" s="22" t="s">
        <v>768</v>
      </c>
      <c r="UO10" s="22" t="s">
        <v>768</v>
      </c>
      <c r="UP10" s="22" t="s">
        <v>768</v>
      </c>
      <c r="UQ10" s="22" t="s">
        <v>768</v>
      </c>
      <c r="UR10" s="22" t="s">
        <v>768</v>
      </c>
      <c r="US10" s="22" t="s">
        <v>768</v>
      </c>
      <c r="UT10" s="22" t="s">
        <v>768</v>
      </c>
      <c r="UU10" s="22" t="s">
        <v>768</v>
      </c>
      <c r="UV10" s="22" t="s">
        <v>768</v>
      </c>
      <c r="UW10" s="22" t="s">
        <v>768</v>
      </c>
      <c r="VJ10" s="22" t="s">
        <v>768</v>
      </c>
      <c r="VK10" s="22" t="s">
        <v>768</v>
      </c>
      <c r="VL10" s="22" t="s">
        <v>768</v>
      </c>
      <c r="VM10" s="22" t="s">
        <v>768</v>
      </c>
      <c r="VN10" s="22" t="s">
        <v>768</v>
      </c>
      <c r="VO10" s="22" t="s">
        <v>768</v>
      </c>
      <c r="VP10" s="22" t="s">
        <v>768</v>
      </c>
      <c r="VQ10" s="22" t="s">
        <v>768</v>
      </c>
      <c r="VR10" s="22" t="s">
        <v>768</v>
      </c>
      <c r="VS10" s="22" t="s">
        <v>768</v>
      </c>
      <c r="VT10" s="22" t="s">
        <v>768</v>
      </c>
      <c r="VU10" s="22" t="s">
        <v>768</v>
      </c>
      <c r="VV10" s="22" t="s">
        <v>768</v>
      </c>
      <c r="VW10" s="22" t="s">
        <v>768</v>
      </c>
      <c r="VX10" s="22" t="s">
        <v>768</v>
      </c>
      <c r="WF10" s="22" t="s">
        <v>768</v>
      </c>
      <c r="WG10" s="22" t="s">
        <v>768</v>
      </c>
      <c r="WH10" s="22" t="s">
        <v>768</v>
      </c>
      <c r="WI10" s="22" t="s">
        <v>768</v>
      </c>
      <c r="WJ10" s="22" t="s">
        <v>768</v>
      </c>
      <c r="WK10" s="22" t="s">
        <v>768</v>
      </c>
      <c r="WL10" s="22" t="s">
        <v>768</v>
      </c>
      <c r="WM10" s="22" t="s">
        <v>768</v>
      </c>
      <c r="WN10" s="22" t="s">
        <v>768</v>
      </c>
      <c r="WO10" s="22" t="s">
        <v>768</v>
      </c>
      <c r="WZ10" s="22" t="s">
        <v>768</v>
      </c>
      <c r="XA10" s="22" t="s">
        <v>768</v>
      </c>
      <c r="XB10" s="22" t="s">
        <v>768</v>
      </c>
      <c r="XC10" s="22" t="s">
        <v>768</v>
      </c>
      <c r="XD10" s="22" t="s">
        <v>768</v>
      </c>
      <c r="XE10" s="22" t="s">
        <v>768</v>
      </c>
      <c r="XF10" s="22" t="s">
        <v>768</v>
      </c>
      <c r="XG10" s="22" t="s">
        <v>768</v>
      </c>
      <c r="XH10" s="22" t="s">
        <v>768</v>
      </c>
      <c r="XI10" s="22" t="s">
        <v>768</v>
      </c>
      <c r="XJ10" s="22" t="s">
        <v>768</v>
      </c>
      <c r="XK10" s="22" t="s">
        <v>768</v>
      </c>
      <c r="XL10" s="22" t="s">
        <v>768</v>
      </c>
      <c r="XU10" s="22" t="s">
        <v>768</v>
      </c>
      <c r="XV10" s="22" t="s">
        <v>768</v>
      </c>
      <c r="XW10" s="22" t="s">
        <v>768</v>
      </c>
      <c r="XX10" s="22" t="s">
        <v>768</v>
      </c>
      <c r="XY10" s="22" t="s">
        <v>768</v>
      </c>
      <c r="XZ10" s="22" t="s">
        <v>768</v>
      </c>
      <c r="YA10" s="22" t="s">
        <v>768</v>
      </c>
      <c r="YB10" s="22" t="s">
        <v>768</v>
      </c>
    </row>
    <row r="11" spans="1:724" x14ac:dyDescent="0.3">
      <c r="A11" s="22">
        <v>10</v>
      </c>
      <c r="B11" s="22">
        <v>10</v>
      </c>
      <c r="C11" s="23">
        <v>44414.556065891207</v>
      </c>
      <c r="T11" s="22" t="s">
        <v>810</v>
      </c>
      <c r="U11" s="22" t="s">
        <v>768</v>
      </c>
      <c r="MM11" s="22">
        <v>3</v>
      </c>
    </row>
    <row r="12" spans="1:724" x14ac:dyDescent="0.3">
      <c r="A12" s="22">
        <v>11</v>
      </c>
      <c r="B12" s="22">
        <v>11</v>
      </c>
      <c r="C12" s="23">
        <v>44414.661420949073</v>
      </c>
      <c r="T12" s="22" t="s">
        <v>811</v>
      </c>
      <c r="U12" s="22" t="s">
        <v>765</v>
      </c>
    </row>
    <row r="13" spans="1:724" x14ac:dyDescent="0.3">
      <c r="A13" s="22">
        <v>12</v>
      </c>
      <c r="B13" s="22">
        <v>12</v>
      </c>
      <c r="C13" s="23">
        <v>44418.128041932869</v>
      </c>
      <c r="D13" s="23">
        <v>44418.129581446759</v>
      </c>
      <c r="E13" s="22" t="s">
        <v>774</v>
      </c>
      <c r="J13" s="22" t="s">
        <v>812</v>
      </c>
      <c r="K13" s="22" t="s">
        <v>813</v>
      </c>
      <c r="T13" s="22" t="s">
        <v>814</v>
      </c>
      <c r="U13" s="22" t="s">
        <v>800</v>
      </c>
      <c r="V13" s="22" t="s">
        <v>788</v>
      </c>
      <c r="W13" s="22" t="s">
        <v>789</v>
      </c>
      <c r="X13" s="22" t="s">
        <v>790</v>
      </c>
      <c r="AF13" s="22" t="s">
        <v>768</v>
      </c>
      <c r="AG13" s="22" t="s">
        <v>768</v>
      </c>
      <c r="AH13" s="22" t="s">
        <v>768</v>
      </c>
      <c r="AI13" s="22" t="s">
        <v>768</v>
      </c>
      <c r="AJ13" s="22" t="s">
        <v>768</v>
      </c>
      <c r="AK13" s="22" t="s">
        <v>768</v>
      </c>
      <c r="AL13" s="22" t="s">
        <v>768</v>
      </c>
      <c r="AV13" s="22" t="s">
        <v>768</v>
      </c>
      <c r="AW13" s="22" t="s">
        <v>768</v>
      </c>
      <c r="AX13" s="22" t="s">
        <v>768</v>
      </c>
      <c r="AY13" s="22" t="s">
        <v>768</v>
      </c>
      <c r="AZ13" s="22" t="s">
        <v>768</v>
      </c>
      <c r="BA13" s="22" t="s">
        <v>768</v>
      </c>
      <c r="BB13" s="22" t="s">
        <v>768</v>
      </c>
      <c r="BC13" s="22" t="s">
        <v>768</v>
      </c>
      <c r="BD13" s="22" t="s">
        <v>768</v>
      </c>
      <c r="BI13" s="22">
        <v>1</v>
      </c>
      <c r="BL13" s="22" t="s">
        <v>768</v>
      </c>
      <c r="BM13" s="22" t="s">
        <v>768</v>
      </c>
      <c r="BN13" s="22" t="s">
        <v>768</v>
      </c>
      <c r="BO13" s="22" t="s">
        <v>768</v>
      </c>
      <c r="BP13" s="22" t="s">
        <v>768</v>
      </c>
      <c r="BQ13" s="22" t="s">
        <v>768</v>
      </c>
      <c r="BR13" s="22" t="s">
        <v>768</v>
      </c>
      <c r="BS13" s="22">
        <v>1</v>
      </c>
      <c r="BW13" s="22" t="s">
        <v>768</v>
      </c>
      <c r="BX13" s="22" t="s">
        <v>768</v>
      </c>
      <c r="BY13" s="22" t="s">
        <v>768</v>
      </c>
      <c r="BZ13" s="22" t="s">
        <v>768</v>
      </c>
      <c r="TM13" s="22" t="s">
        <v>768</v>
      </c>
      <c r="TN13" s="22" t="s">
        <v>768</v>
      </c>
      <c r="TO13" s="22" t="s">
        <v>768</v>
      </c>
      <c r="TW13" s="22" t="s">
        <v>768</v>
      </c>
      <c r="TX13" s="22" t="s">
        <v>768</v>
      </c>
      <c r="TY13" s="22" t="s">
        <v>768</v>
      </c>
      <c r="TZ13" s="22" t="s">
        <v>768</v>
      </c>
      <c r="UA13" s="22" t="s">
        <v>768</v>
      </c>
      <c r="UB13" s="22" t="s">
        <v>768</v>
      </c>
      <c r="UC13" s="22" t="s">
        <v>768</v>
      </c>
      <c r="VV13" s="22" t="s">
        <v>768</v>
      </c>
      <c r="VW13" s="22" t="s">
        <v>768</v>
      </c>
      <c r="VX13" s="22" t="s">
        <v>768</v>
      </c>
      <c r="WF13" s="22" t="s">
        <v>768</v>
      </c>
      <c r="WG13" s="22" t="s">
        <v>768</v>
      </c>
      <c r="WH13" s="22" t="s">
        <v>768</v>
      </c>
      <c r="WI13" s="22" t="s">
        <v>768</v>
      </c>
      <c r="WJ13" s="22" t="s">
        <v>768</v>
      </c>
      <c r="WK13" s="22" t="s">
        <v>768</v>
      </c>
      <c r="WL13" s="22" t="s">
        <v>768</v>
      </c>
    </row>
    <row r="14" spans="1:724" x14ac:dyDescent="0.3">
      <c r="A14" s="22">
        <v>13</v>
      </c>
      <c r="B14" s="22">
        <v>13</v>
      </c>
      <c r="C14" s="23">
        <v>44418.175242395831</v>
      </c>
      <c r="D14" s="23">
        <v>44418.17565474537</v>
      </c>
      <c r="E14" s="22" t="s">
        <v>774</v>
      </c>
      <c r="J14" s="22" t="s">
        <v>762</v>
      </c>
      <c r="K14" s="22" t="s">
        <v>763</v>
      </c>
      <c r="T14" s="22" t="s">
        <v>815</v>
      </c>
      <c r="U14" s="22" t="s">
        <v>816</v>
      </c>
      <c r="V14" s="22" t="s">
        <v>788</v>
      </c>
      <c r="W14" s="22" t="s">
        <v>789</v>
      </c>
      <c r="X14" s="22" t="s">
        <v>809</v>
      </c>
      <c r="Z14" s="22">
        <v>1</v>
      </c>
      <c r="AC14" s="22">
        <v>1</v>
      </c>
      <c r="AE14" s="22">
        <v>1</v>
      </c>
      <c r="AF14" s="22" t="s">
        <v>768</v>
      </c>
      <c r="AG14" s="22" t="s">
        <v>768</v>
      </c>
      <c r="AH14" s="22" t="s">
        <v>768</v>
      </c>
      <c r="AI14" s="22" t="s">
        <v>768</v>
      </c>
      <c r="AJ14" s="22" t="s">
        <v>768</v>
      </c>
      <c r="AK14" s="22" t="s">
        <v>768</v>
      </c>
      <c r="AL14" s="22" t="s">
        <v>768</v>
      </c>
      <c r="AM14" s="22">
        <v>1</v>
      </c>
      <c r="AQ14" s="22">
        <v>2</v>
      </c>
      <c r="AS14" s="22">
        <v>2</v>
      </c>
      <c r="AV14" s="22" t="s">
        <v>768</v>
      </c>
      <c r="AW14" s="22" t="s">
        <v>768</v>
      </c>
      <c r="AX14" s="22" t="s">
        <v>768</v>
      </c>
      <c r="AY14" s="22" t="s">
        <v>768</v>
      </c>
      <c r="AZ14" s="22" t="s">
        <v>768</v>
      </c>
      <c r="BA14" s="22" t="s">
        <v>768</v>
      </c>
      <c r="BB14" s="22" t="s">
        <v>768</v>
      </c>
      <c r="BC14" s="22" t="s">
        <v>768</v>
      </c>
      <c r="BD14" s="22" t="s">
        <v>768</v>
      </c>
      <c r="BE14" s="22">
        <v>1</v>
      </c>
      <c r="BH14" s="22">
        <v>3</v>
      </c>
      <c r="BJ14" s="22">
        <v>1</v>
      </c>
      <c r="BL14" s="22" t="s">
        <v>768</v>
      </c>
      <c r="BM14" s="22" t="s">
        <v>768</v>
      </c>
      <c r="BN14" s="22" t="s">
        <v>768</v>
      </c>
      <c r="BO14" s="22" t="s">
        <v>768</v>
      </c>
      <c r="BP14" s="22" t="s">
        <v>768</v>
      </c>
      <c r="BQ14" s="22" t="s">
        <v>768</v>
      </c>
      <c r="BR14" s="22" t="s">
        <v>768</v>
      </c>
      <c r="BT14" s="22">
        <v>1</v>
      </c>
      <c r="BU14" s="22">
        <v>2</v>
      </c>
      <c r="BW14" s="22" t="s">
        <v>768</v>
      </c>
      <c r="BX14" s="22" t="s">
        <v>768</v>
      </c>
      <c r="BY14" s="22" t="s">
        <v>768</v>
      </c>
      <c r="BZ14" s="22" t="s">
        <v>768</v>
      </c>
      <c r="IN14" s="22" t="s">
        <v>1096</v>
      </c>
    </row>
    <row r="15" spans="1:724" x14ac:dyDescent="0.3">
      <c r="A15" s="22">
        <v>14</v>
      </c>
      <c r="B15" s="22">
        <v>14</v>
      </c>
      <c r="C15" s="23">
        <v>44418.177394444443</v>
      </c>
      <c r="T15" s="22" t="s">
        <v>817</v>
      </c>
      <c r="U15" s="22" t="s">
        <v>816</v>
      </c>
      <c r="V15" s="22" t="s">
        <v>818</v>
      </c>
      <c r="W15" s="22" t="s">
        <v>819</v>
      </c>
      <c r="X15" s="22" t="s">
        <v>820</v>
      </c>
      <c r="Y15" s="22">
        <v>1</v>
      </c>
      <c r="AF15" s="22" t="s">
        <v>768</v>
      </c>
      <c r="AG15" s="22" t="s">
        <v>768</v>
      </c>
      <c r="AH15" s="22" t="s">
        <v>768</v>
      </c>
      <c r="AI15" s="22" t="s">
        <v>768</v>
      </c>
      <c r="AJ15" s="22" t="s">
        <v>768</v>
      </c>
      <c r="AK15" s="22" t="s">
        <v>768</v>
      </c>
      <c r="AL15" s="22" t="s">
        <v>768</v>
      </c>
      <c r="AV15" s="22" t="s">
        <v>768</v>
      </c>
      <c r="AW15" s="22" t="s">
        <v>768</v>
      </c>
      <c r="AX15" s="22" t="s">
        <v>768</v>
      </c>
      <c r="AY15" s="22" t="s">
        <v>768</v>
      </c>
      <c r="AZ15" s="22" t="s">
        <v>768</v>
      </c>
      <c r="BA15" s="22" t="s">
        <v>768</v>
      </c>
      <c r="BB15" s="22" t="s">
        <v>768</v>
      </c>
      <c r="BC15" s="22" t="s">
        <v>768</v>
      </c>
      <c r="BD15" s="22" t="s">
        <v>768</v>
      </c>
      <c r="DE15" s="22">
        <v>3</v>
      </c>
    </row>
    <row r="16" spans="1:724" x14ac:dyDescent="0.3">
      <c r="A16" s="22">
        <v>15</v>
      </c>
      <c r="B16" s="22">
        <v>15</v>
      </c>
      <c r="C16" s="23">
        <v>44418.366223379628</v>
      </c>
      <c r="D16" s="23">
        <v>44418.367469710647</v>
      </c>
      <c r="E16" s="22" t="s">
        <v>774</v>
      </c>
      <c r="J16" s="22" t="s">
        <v>821</v>
      </c>
      <c r="K16" s="22" t="s">
        <v>822</v>
      </c>
      <c r="T16" s="22" t="s">
        <v>823</v>
      </c>
      <c r="U16" s="22" t="s">
        <v>770</v>
      </c>
      <c r="V16" s="22" t="s">
        <v>824</v>
      </c>
      <c r="W16" s="22" t="s">
        <v>825</v>
      </c>
      <c r="X16" s="22" t="s">
        <v>826</v>
      </c>
      <c r="AF16" s="22" t="s">
        <v>768</v>
      </c>
      <c r="AG16" s="22" t="s">
        <v>768</v>
      </c>
      <c r="AH16" s="22" t="s">
        <v>768</v>
      </c>
      <c r="AI16" s="22" t="s">
        <v>768</v>
      </c>
      <c r="AJ16" s="22" t="s">
        <v>768</v>
      </c>
      <c r="AK16" s="22" t="s">
        <v>768</v>
      </c>
      <c r="AL16" s="22" t="s">
        <v>768</v>
      </c>
      <c r="AV16" s="22" t="s">
        <v>768</v>
      </c>
      <c r="AW16" s="22" t="s">
        <v>768</v>
      </c>
      <c r="AX16" s="22" t="s">
        <v>768</v>
      </c>
      <c r="AY16" s="22" t="s">
        <v>768</v>
      </c>
      <c r="AZ16" s="22" t="s">
        <v>768</v>
      </c>
      <c r="BA16" s="22" t="s">
        <v>768</v>
      </c>
      <c r="BB16" s="22" t="s">
        <v>768</v>
      </c>
      <c r="BC16" s="22" t="s">
        <v>768</v>
      </c>
      <c r="BD16" s="22" t="s">
        <v>768</v>
      </c>
      <c r="BL16" s="22" t="s">
        <v>768</v>
      </c>
      <c r="BM16" s="22" t="s">
        <v>768</v>
      </c>
      <c r="BN16" s="22" t="s">
        <v>768</v>
      </c>
      <c r="BO16" s="22" t="s">
        <v>768</v>
      </c>
      <c r="BP16" s="22" t="s">
        <v>768</v>
      </c>
      <c r="BQ16" s="22" t="s">
        <v>768</v>
      </c>
      <c r="BR16" s="22" t="s">
        <v>768</v>
      </c>
      <c r="BW16" s="22" t="s">
        <v>768</v>
      </c>
      <c r="BX16" s="22" t="s">
        <v>768</v>
      </c>
      <c r="BY16" s="22" t="s">
        <v>768</v>
      </c>
      <c r="BZ16" s="22" t="s">
        <v>768</v>
      </c>
    </row>
    <row r="17" spans="1:704" x14ac:dyDescent="0.3">
      <c r="A17" s="22">
        <v>16</v>
      </c>
      <c r="B17" s="22">
        <v>16</v>
      </c>
      <c r="C17" s="23">
        <v>44418.531231099536</v>
      </c>
      <c r="D17" s="23">
        <v>44418.550044756943</v>
      </c>
      <c r="E17" s="22" t="s">
        <v>774</v>
      </c>
      <c r="J17" s="22" t="s">
        <v>762</v>
      </c>
      <c r="K17" s="22" t="s">
        <v>763</v>
      </c>
      <c r="T17" s="22" t="s">
        <v>827</v>
      </c>
      <c r="U17" s="22" t="s">
        <v>828</v>
      </c>
      <c r="V17" s="22" t="s">
        <v>766</v>
      </c>
      <c r="W17" s="22" t="s">
        <v>766</v>
      </c>
      <c r="X17" s="22" t="s">
        <v>767</v>
      </c>
      <c r="AF17" s="22" t="s">
        <v>768</v>
      </c>
      <c r="AG17" s="22" t="s">
        <v>768</v>
      </c>
      <c r="AH17" s="22" t="s">
        <v>768</v>
      </c>
      <c r="AI17" s="22" t="s">
        <v>768</v>
      </c>
      <c r="AJ17" s="22" t="s">
        <v>768</v>
      </c>
      <c r="AK17" s="22" t="s">
        <v>768</v>
      </c>
      <c r="AL17" s="22" t="s">
        <v>768</v>
      </c>
      <c r="AV17" s="22" t="s">
        <v>768</v>
      </c>
      <c r="AW17" s="22" t="s">
        <v>768</v>
      </c>
      <c r="AX17" s="22" t="s">
        <v>768</v>
      </c>
      <c r="AY17" s="22" t="s">
        <v>768</v>
      </c>
      <c r="AZ17" s="22" t="s">
        <v>768</v>
      </c>
      <c r="BA17" s="22" t="s">
        <v>768</v>
      </c>
      <c r="BB17" s="22" t="s">
        <v>768</v>
      </c>
      <c r="BC17" s="22" t="s">
        <v>768</v>
      </c>
      <c r="BD17" s="22" t="s">
        <v>768</v>
      </c>
      <c r="BL17" s="22" t="s">
        <v>768</v>
      </c>
      <c r="BM17" s="22" t="s">
        <v>768</v>
      </c>
      <c r="BN17" s="22" t="s">
        <v>768</v>
      </c>
      <c r="BO17" s="22" t="s">
        <v>768</v>
      </c>
      <c r="BP17" s="22" t="s">
        <v>768</v>
      </c>
      <c r="BQ17" s="22" t="s">
        <v>768</v>
      </c>
      <c r="BR17" s="22" t="s">
        <v>768</v>
      </c>
      <c r="BW17" s="22" t="s">
        <v>768</v>
      </c>
      <c r="BX17" s="22" t="s">
        <v>768</v>
      </c>
      <c r="BY17" s="22" t="s">
        <v>768</v>
      </c>
      <c r="BZ17" s="22" t="s">
        <v>768</v>
      </c>
    </row>
    <row r="18" spans="1:704" x14ac:dyDescent="0.3">
      <c r="A18" s="22">
        <v>17</v>
      </c>
      <c r="B18" s="22">
        <v>17</v>
      </c>
      <c r="C18" s="23">
        <v>44426.339733680557</v>
      </c>
      <c r="D18" s="23">
        <v>44426.366960300926</v>
      </c>
      <c r="E18" s="22" t="s">
        <v>761</v>
      </c>
      <c r="J18" s="22" t="s">
        <v>829</v>
      </c>
      <c r="K18" s="22" t="s">
        <v>830</v>
      </c>
      <c r="T18" s="22" t="s">
        <v>831</v>
      </c>
      <c r="U18" s="22" t="s">
        <v>787</v>
      </c>
      <c r="V18" s="22" t="s">
        <v>824</v>
      </c>
      <c r="W18" s="22" t="s">
        <v>832</v>
      </c>
      <c r="X18" s="22" t="s">
        <v>833</v>
      </c>
      <c r="Y18" s="22">
        <v>1</v>
      </c>
      <c r="Z18" s="22">
        <v>2</v>
      </c>
      <c r="AA18" s="22">
        <v>1</v>
      </c>
      <c r="AB18" s="22">
        <v>1</v>
      </c>
      <c r="AC18" s="22">
        <v>1</v>
      </c>
      <c r="AD18" s="22">
        <v>1</v>
      </c>
      <c r="AE18" s="22">
        <v>1</v>
      </c>
      <c r="AF18" s="22" t="s">
        <v>768</v>
      </c>
      <c r="AG18" s="22" t="s">
        <v>768</v>
      </c>
      <c r="AH18" s="22" t="s">
        <v>768</v>
      </c>
      <c r="AI18" s="22" t="s">
        <v>768</v>
      </c>
      <c r="AJ18" s="22" t="s">
        <v>768</v>
      </c>
      <c r="AK18" s="22" t="s">
        <v>768</v>
      </c>
      <c r="AL18" s="22" t="s">
        <v>768</v>
      </c>
      <c r="AP18" s="22">
        <v>1</v>
      </c>
      <c r="AV18" s="22" t="s">
        <v>768</v>
      </c>
      <c r="AW18" s="22" t="s">
        <v>768</v>
      </c>
      <c r="AX18" s="22" t="s">
        <v>768</v>
      </c>
      <c r="AY18" s="22" t="s">
        <v>834</v>
      </c>
      <c r="AZ18" s="22" t="s">
        <v>768</v>
      </c>
      <c r="BA18" s="22" t="s">
        <v>768</v>
      </c>
      <c r="BB18" s="22" t="s">
        <v>768</v>
      </c>
      <c r="BC18" s="22" t="s">
        <v>768</v>
      </c>
      <c r="BD18" s="22" t="s">
        <v>768</v>
      </c>
      <c r="BE18" s="22">
        <v>3</v>
      </c>
      <c r="BL18" s="22" t="s">
        <v>768</v>
      </c>
      <c r="BM18" s="22" t="s">
        <v>768</v>
      </c>
      <c r="BN18" s="22" t="s">
        <v>768</v>
      </c>
      <c r="BO18" s="22" t="s">
        <v>768</v>
      </c>
      <c r="BP18" s="22" t="s">
        <v>768</v>
      </c>
      <c r="BQ18" s="22" t="s">
        <v>768</v>
      </c>
      <c r="BR18" s="22" t="s">
        <v>768</v>
      </c>
      <c r="BW18" s="22" t="s">
        <v>768</v>
      </c>
      <c r="BX18" s="22" t="s">
        <v>768</v>
      </c>
      <c r="BY18" s="22" t="s">
        <v>768</v>
      </c>
      <c r="BZ18" s="22" t="s">
        <v>768</v>
      </c>
      <c r="CA18" s="22" t="s">
        <v>835</v>
      </c>
      <c r="CB18" s="22" t="s">
        <v>768</v>
      </c>
      <c r="CC18" s="22" t="s">
        <v>768</v>
      </c>
      <c r="CE18" s="22">
        <v>1</v>
      </c>
      <c r="CK18" s="22">
        <v>1</v>
      </c>
      <c r="CN18" s="22" t="s">
        <v>768</v>
      </c>
      <c r="CO18" s="22" t="s">
        <v>768</v>
      </c>
      <c r="CP18" s="22" t="s">
        <v>768</v>
      </c>
      <c r="CQ18" s="22" t="s">
        <v>768</v>
      </c>
      <c r="CR18" s="22" t="s">
        <v>768</v>
      </c>
      <c r="CS18" s="22" t="s">
        <v>768</v>
      </c>
      <c r="CT18" s="22" t="s">
        <v>768</v>
      </c>
      <c r="CU18" s="22" t="s">
        <v>768</v>
      </c>
      <c r="CV18" s="22" t="s">
        <v>768</v>
      </c>
      <c r="CW18" s="22" t="s">
        <v>768</v>
      </c>
      <c r="CX18" s="22" t="s">
        <v>768</v>
      </c>
      <c r="CY18" s="22" t="s">
        <v>768</v>
      </c>
      <c r="CZ18" s="22" t="s">
        <v>768</v>
      </c>
      <c r="DI18" s="22" t="s">
        <v>768</v>
      </c>
      <c r="DJ18" s="22" t="s">
        <v>768</v>
      </c>
      <c r="DK18" s="22" t="s">
        <v>768</v>
      </c>
      <c r="DL18" s="22" t="s">
        <v>768</v>
      </c>
      <c r="DM18" s="22" t="s">
        <v>768</v>
      </c>
      <c r="DN18" s="22" t="s">
        <v>768</v>
      </c>
      <c r="DO18" s="22" t="s">
        <v>768</v>
      </c>
      <c r="DP18" s="22" t="s">
        <v>768</v>
      </c>
      <c r="DQ18" s="22" t="s">
        <v>768</v>
      </c>
      <c r="DR18" s="22" t="s">
        <v>768</v>
      </c>
      <c r="DS18" s="22" t="s">
        <v>768</v>
      </c>
      <c r="ED18" s="22" t="s">
        <v>768</v>
      </c>
      <c r="EE18" s="22" t="s">
        <v>768</v>
      </c>
      <c r="EF18" s="22" t="s">
        <v>768</v>
      </c>
      <c r="EG18" s="22" t="s">
        <v>768</v>
      </c>
      <c r="EH18" s="22" t="s">
        <v>768</v>
      </c>
      <c r="EI18" s="22" t="s">
        <v>768</v>
      </c>
      <c r="EJ18" s="22" t="s">
        <v>768</v>
      </c>
      <c r="EK18" s="22" t="s">
        <v>768</v>
      </c>
      <c r="EL18" s="22" t="s">
        <v>768</v>
      </c>
      <c r="EM18" s="22" t="s">
        <v>768</v>
      </c>
      <c r="HC18" s="22" t="s">
        <v>768</v>
      </c>
      <c r="HD18" s="22" t="s">
        <v>768</v>
      </c>
      <c r="HE18" s="22" t="s">
        <v>768</v>
      </c>
      <c r="HN18" s="22" t="s">
        <v>768</v>
      </c>
      <c r="HO18" s="22" t="s">
        <v>768</v>
      </c>
      <c r="HP18" s="22" t="s">
        <v>768</v>
      </c>
      <c r="HQ18" s="22" t="s">
        <v>768</v>
      </c>
      <c r="HR18" s="22" t="s">
        <v>768</v>
      </c>
      <c r="HS18" s="22" t="s">
        <v>768</v>
      </c>
      <c r="HT18" s="22" t="s">
        <v>768</v>
      </c>
      <c r="HU18" s="22" t="s">
        <v>768</v>
      </c>
      <c r="IO18" s="22" t="s">
        <v>768</v>
      </c>
      <c r="IP18" s="22" t="s">
        <v>768</v>
      </c>
      <c r="IQ18" s="22" t="s">
        <v>768</v>
      </c>
      <c r="JC18" s="22" t="s">
        <v>768</v>
      </c>
      <c r="JD18" s="22" t="s">
        <v>768</v>
      </c>
      <c r="JE18" s="22" t="s">
        <v>768</v>
      </c>
      <c r="JF18" s="22" t="s">
        <v>768</v>
      </c>
      <c r="JG18" s="22" t="s">
        <v>768</v>
      </c>
      <c r="JH18" s="22" t="s">
        <v>768</v>
      </c>
      <c r="JI18" s="22" t="s">
        <v>768</v>
      </c>
      <c r="JJ18" s="22" t="s">
        <v>768</v>
      </c>
      <c r="JK18" s="22" t="s">
        <v>768</v>
      </c>
      <c r="JL18" s="22" t="s">
        <v>768</v>
      </c>
      <c r="JM18" s="22" t="s">
        <v>768</v>
      </c>
      <c r="JN18" s="22" t="s">
        <v>768</v>
      </c>
      <c r="JO18" s="22" t="s">
        <v>768</v>
      </c>
      <c r="JP18" s="22" t="s">
        <v>768</v>
      </c>
      <c r="JZ18" s="22" t="s">
        <v>768</v>
      </c>
      <c r="KA18" s="22" t="s">
        <v>768</v>
      </c>
      <c r="KB18" s="22" t="s">
        <v>768</v>
      </c>
      <c r="KC18" s="22" t="s">
        <v>768</v>
      </c>
      <c r="KD18" s="22" t="s">
        <v>768</v>
      </c>
      <c r="KE18" s="22" t="s">
        <v>768</v>
      </c>
      <c r="KF18" s="22" t="s">
        <v>768</v>
      </c>
      <c r="KG18" s="22" t="s">
        <v>768</v>
      </c>
      <c r="KH18" s="22" t="s">
        <v>768</v>
      </c>
      <c r="KI18" s="22" t="s">
        <v>768</v>
      </c>
      <c r="KJ18" s="22" t="s">
        <v>768</v>
      </c>
      <c r="KK18" s="22" t="s">
        <v>768</v>
      </c>
      <c r="KZ18" s="22" t="s">
        <v>768</v>
      </c>
      <c r="LA18" s="22" t="s">
        <v>768</v>
      </c>
      <c r="LB18" s="22" t="s">
        <v>768</v>
      </c>
      <c r="LC18" s="22" t="s">
        <v>768</v>
      </c>
      <c r="LD18" s="22" t="s">
        <v>768</v>
      </c>
      <c r="LE18" s="22" t="s">
        <v>768</v>
      </c>
      <c r="LF18" s="22" t="s">
        <v>768</v>
      </c>
      <c r="LG18" s="22" t="s">
        <v>768</v>
      </c>
      <c r="LH18" s="22" t="s">
        <v>768</v>
      </c>
      <c r="LI18" s="22" t="s">
        <v>768</v>
      </c>
      <c r="LJ18" s="22" t="s">
        <v>768</v>
      </c>
      <c r="LK18" s="22" t="s">
        <v>768</v>
      </c>
      <c r="LL18" s="22" t="s">
        <v>768</v>
      </c>
      <c r="LM18" s="22" t="s">
        <v>768</v>
      </c>
      <c r="NK18" s="22" t="s">
        <v>768</v>
      </c>
      <c r="NL18" s="22" t="s">
        <v>768</v>
      </c>
      <c r="NM18" s="22" t="s">
        <v>768</v>
      </c>
      <c r="OA18" s="22" t="s">
        <v>768</v>
      </c>
      <c r="OB18" s="22" t="s">
        <v>768</v>
      </c>
      <c r="OC18" s="22" t="s">
        <v>768</v>
      </c>
      <c r="OD18" s="22" t="s">
        <v>768</v>
      </c>
      <c r="OE18" s="22" t="s">
        <v>768</v>
      </c>
      <c r="OF18" s="22" t="s">
        <v>768</v>
      </c>
      <c r="OG18" s="22" t="s">
        <v>768</v>
      </c>
      <c r="OH18" s="22" t="s">
        <v>768</v>
      </c>
      <c r="OI18" s="22" t="s">
        <v>768</v>
      </c>
      <c r="OJ18" s="22" t="s">
        <v>768</v>
      </c>
      <c r="OK18" s="22" t="s">
        <v>768</v>
      </c>
      <c r="OL18" s="22" t="s">
        <v>768</v>
      </c>
      <c r="OM18" s="22" t="s">
        <v>768</v>
      </c>
      <c r="ON18" s="22" t="s">
        <v>768</v>
      </c>
      <c r="OO18" s="22" t="s">
        <v>768</v>
      </c>
      <c r="OP18" s="22" t="s">
        <v>768</v>
      </c>
      <c r="OZ18" s="22" t="s">
        <v>768</v>
      </c>
      <c r="PA18" s="22" t="s">
        <v>768</v>
      </c>
      <c r="PB18" s="22" t="s">
        <v>768</v>
      </c>
      <c r="PC18" s="22" t="s">
        <v>768</v>
      </c>
      <c r="PD18" s="22" t="s">
        <v>768</v>
      </c>
      <c r="PE18" s="22" t="s">
        <v>768</v>
      </c>
      <c r="PF18" s="22" t="s">
        <v>768</v>
      </c>
      <c r="PG18" s="22" t="s">
        <v>768</v>
      </c>
      <c r="PH18" s="22" t="s">
        <v>768</v>
      </c>
    </row>
    <row r="19" spans="1:704" x14ac:dyDescent="0.3">
      <c r="A19" s="22">
        <v>18</v>
      </c>
      <c r="B19" s="22">
        <v>18</v>
      </c>
      <c r="C19" s="23">
        <v>44426.370244247686</v>
      </c>
      <c r="D19" s="23">
        <v>44426.372594525463</v>
      </c>
      <c r="E19" s="22" t="s">
        <v>774</v>
      </c>
      <c r="J19" s="22" t="s">
        <v>836</v>
      </c>
      <c r="K19" s="22" t="s">
        <v>837</v>
      </c>
      <c r="T19" s="22" t="s">
        <v>838</v>
      </c>
      <c r="U19" s="22" t="s">
        <v>787</v>
      </c>
      <c r="V19" s="22" t="s">
        <v>824</v>
      </c>
      <c r="W19" s="22" t="s">
        <v>839</v>
      </c>
      <c r="X19" s="22" t="s">
        <v>840</v>
      </c>
      <c r="AF19" s="22" t="s">
        <v>768</v>
      </c>
      <c r="AG19" s="22" t="s">
        <v>768</v>
      </c>
      <c r="AH19" s="22" t="s">
        <v>768</v>
      </c>
      <c r="AI19" s="22" t="s">
        <v>768</v>
      </c>
      <c r="AJ19" s="22" t="s">
        <v>768</v>
      </c>
      <c r="AK19" s="22" t="s">
        <v>768</v>
      </c>
      <c r="AL19" s="22" t="s">
        <v>768</v>
      </c>
      <c r="AV19" s="22" t="s">
        <v>768</v>
      </c>
      <c r="AW19" s="22" t="s">
        <v>768</v>
      </c>
      <c r="AX19" s="22" t="s">
        <v>768</v>
      </c>
      <c r="AY19" s="22" t="s">
        <v>768</v>
      </c>
      <c r="AZ19" s="22" t="s">
        <v>768</v>
      </c>
      <c r="BA19" s="22" t="s">
        <v>768</v>
      </c>
      <c r="BB19" s="22" t="s">
        <v>768</v>
      </c>
      <c r="BC19" s="22" t="s">
        <v>768</v>
      </c>
      <c r="BD19" s="22" t="s">
        <v>768</v>
      </c>
      <c r="BL19" s="22" t="s">
        <v>768</v>
      </c>
      <c r="BM19" s="22" t="s">
        <v>768</v>
      </c>
      <c r="BN19" s="22" t="s">
        <v>768</v>
      </c>
      <c r="BO19" s="22" t="s">
        <v>768</v>
      </c>
      <c r="BP19" s="22" t="s">
        <v>768</v>
      </c>
      <c r="BQ19" s="22" t="s">
        <v>768</v>
      </c>
      <c r="BR19" s="22" t="s">
        <v>768</v>
      </c>
      <c r="BS19" s="22">
        <v>1</v>
      </c>
      <c r="BT19" s="22">
        <v>1</v>
      </c>
      <c r="BW19" s="22" t="s">
        <v>768</v>
      </c>
      <c r="BX19" s="22" t="s">
        <v>768</v>
      </c>
      <c r="BY19" s="22" t="s">
        <v>768</v>
      </c>
      <c r="BZ19" s="22" t="s">
        <v>768</v>
      </c>
      <c r="VV19" s="22" t="s">
        <v>768</v>
      </c>
      <c r="VW19" s="22" t="s">
        <v>768</v>
      </c>
      <c r="VX19" s="22" t="s">
        <v>768</v>
      </c>
      <c r="WF19" s="22" t="s">
        <v>768</v>
      </c>
      <c r="WG19" s="22" t="s">
        <v>768</v>
      </c>
      <c r="WH19" s="22" t="s">
        <v>768</v>
      </c>
      <c r="WI19" s="22" t="s">
        <v>768</v>
      </c>
      <c r="WJ19" s="22" t="s">
        <v>768</v>
      </c>
      <c r="WK19" s="22" t="s">
        <v>768</v>
      </c>
      <c r="WL19" s="22" t="s">
        <v>768</v>
      </c>
      <c r="WM19" s="22" t="s">
        <v>768</v>
      </c>
      <c r="WN19" s="22" t="s">
        <v>768</v>
      </c>
      <c r="WO19" s="22" t="s">
        <v>768</v>
      </c>
      <c r="WZ19" s="22" t="s">
        <v>768</v>
      </c>
      <c r="XA19" s="22" t="s">
        <v>768</v>
      </c>
      <c r="XB19" s="22" t="s">
        <v>768</v>
      </c>
      <c r="XC19" s="22" t="s">
        <v>768</v>
      </c>
      <c r="XD19" s="22" t="s">
        <v>768</v>
      </c>
      <c r="XE19" s="22" t="s">
        <v>768</v>
      </c>
      <c r="XF19" s="22" t="s">
        <v>768</v>
      </c>
      <c r="XG19" s="22" t="s">
        <v>768</v>
      </c>
      <c r="XH19" s="22" t="s">
        <v>768</v>
      </c>
      <c r="XI19" s="22" t="s">
        <v>768</v>
      </c>
      <c r="XJ19" s="22" t="s">
        <v>768</v>
      </c>
      <c r="XK19" s="22" t="s">
        <v>768</v>
      </c>
      <c r="XL19" s="22" t="s">
        <v>768</v>
      </c>
      <c r="XU19" s="22" t="s">
        <v>768</v>
      </c>
      <c r="XV19" s="22" t="s">
        <v>768</v>
      </c>
      <c r="XW19" s="22" t="s">
        <v>768</v>
      </c>
      <c r="XX19" s="22" t="s">
        <v>768</v>
      </c>
      <c r="XY19" s="22" t="s">
        <v>768</v>
      </c>
      <c r="XZ19" s="22" t="s">
        <v>768</v>
      </c>
      <c r="YA19" s="22" t="s">
        <v>768</v>
      </c>
      <c r="YB19" s="22" t="s">
        <v>768</v>
      </c>
    </row>
    <row r="20" spans="1:704" x14ac:dyDescent="0.3">
      <c r="A20" s="22">
        <v>19</v>
      </c>
      <c r="B20" s="22">
        <v>19</v>
      </c>
      <c r="C20" s="23">
        <v>44426.379453472226</v>
      </c>
      <c r="D20" s="23">
        <v>44426.397446064817</v>
      </c>
      <c r="E20" s="22" t="s">
        <v>761</v>
      </c>
      <c r="J20" s="22" t="s">
        <v>762</v>
      </c>
      <c r="K20" s="22" t="s">
        <v>763</v>
      </c>
      <c r="T20" s="22" t="s">
        <v>841</v>
      </c>
      <c r="U20" s="22" t="s">
        <v>787</v>
      </c>
      <c r="V20" s="22" t="s">
        <v>842</v>
      </c>
      <c r="W20" s="22" t="s">
        <v>843</v>
      </c>
      <c r="X20" s="22" t="s">
        <v>844</v>
      </c>
      <c r="Y20" s="22">
        <v>2</v>
      </c>
      <c r="Z20" s="22">
        <v>2</v>
      </c>
      <c r="AA20" s="22">
        <v>3</v>
      </c>
      <c r="AB20" s="22">
        <v>1</v>
      </c>
      <c r="AD20" s="22">
        <v>1</v>
      </c>
      <c r="AE20" s="22">
        <v>1</v>
      </c>
      <c r="AF20" s="22" t="s">
        <v>768</v>
      </c>
      <c r="AG20" s="22" t="s">
        <v>768</v>
      </c>
      <c r="AH20" s="22" t="s">
        <v>768</v>
      </c>
      <c r="AI20" s="22" t="s">
        <v>768</v>
      </c>
      <c r="AJ20" s="22" t="s">
        <v>768</v>
      </c>
      <c r="AK20" s="22" t="s">
        <v>768</v>
      </c>
      <c r="AL20" s="22" t="s">
        <v>768</v>
      </c>
      <c r="AM20" s="22">
        <v>1</v>
      </c>
      <c r="AN20" s="22">
        <v>1</v>
      </c>
      <c r="AO20" s="22">
        <v>1</v>
      </c>
      <c r="AQ20" s="22">
        <v>2</v>
      </c>
      <c r="AS20" s="22">
        <v>1</v>
      </c>
      <c r="AT20" s="22">
        <v>2</v>
      </c>
      <c r="AU20" s="22">
        <v>2</v>
      </c>
      <c r="AV20" s="22" t="s">
        <v>768</v>
      </c>
      <c r="AW20" s="22" t="s">
        <v>768</v>
      </c>
      <c r="AX20" s="22" t="s">
        <v>768</v>
      </c>
      <c r="AY20" s="22" t="s">
        <v>768</v>
      </c>
      <c r="AZ20" s="22" t="s">
        <v>768</v>
      </c>
      <c r="BA20" s="22" t="s">
        <v>768</v>
      </c>
      <c r="BB20" s="22" t="s">
        <v>768</v>
      </c>
      <c r="BC20" s="22" t="s">
        <v>768</v>
      </c>
      <c r="BD20" s="22" t="s">
        <v>768</v>
      </c>
      <c r="BE20" s="22">
        <v>1</v>
      </c>
      <c r="BG20" s="22">
        <v>1</v>
      </c>
      <c r="BI20" s="22">
        <v>3</v>
      </c>
      <c r="BK20" s="22">
        <v>3</v>
      </c>
      <c r="BL20" s="22" t="s">
        <v>768</v>
      </c>
      <c r="BM20" s="22" t="s">
        <v>768</v>
      </c>
      <c r="BN20" s="22" t="s">
        <v>768</v>
      </c>
      <c r="BO20" s="22" t="s">
        <v>768</v>
      </c>
      <c r="BP20" s="22" t="s">
        <v>768</v>
      </c>
      <c r="BQ20" s="22" t="s">
        <v>768</v>
      </c>
      <c r="BR20" s="22" t="s">
        <v>768</v>
      </c>
      <c r="BS20" s="22">
        <v>3</v>
      </c>
      <c r="BT20" s="22">
        <v>3</v>
      </c>
      <c r="BU20" s="22">
        <v>3</v>
      </c>
      <c r="BV20" s="22">
        <v>3</v>
      </c>
      <c r="BW20" s="22" t="s">
        <v>768</v>
      </c>
      <c r="BX20" s="22" t="s">
        <v>768</v>
      </c>
      <c r="BY20" s="22" t="s">
        <v>768</v>
      </c>
      <c r="BZ20" s="22" t="s">
        <v>768</v>
      </c>
      <c r="CA20" s="22" t="s">
        <v>768</v>
      </c>
      <c r="CB20" s="22" t="s">
        <v>768</v>
      </c>
      <c r="CC20" s="22" t="s">
        <v>768</v>
      </c>
      <c r="CN20" s="22" t="s">
        <v>768</v>
      </c>
      <c r="CO20" s="22" t="s">
        <v>768</v>
      </c>
      <c r="CP20" s="22" t="s">
        <v>768</v>
      </c>
      <c r="CQ20" s="22" t="s">
        <v>768</v>
      </c>
      <c r="CR20" s="22" t="s">
        <v>768</v>
      </c>
      <c r="CS20" s="22" t="s">
        <v>768</v>
      </c>
      <c r="CT20" s="22" t="s">
        <v>768</v>
      </c>
      <c r="CU20" s="22" t="s">
        <v>768</v>
      </c>
      <c r="CV20" s="22" t="s">
        <v>768</v>
      </c>
      <c r="CW20" s="22" t="s">
        <v>768</v>
      </c>
      <c r="CX20" s="22" t="s">
        <v>768</v>
      </c>
      <c r="CY20" s="22" t="s">
        <v>768</v>
      </c>
      <c r="CZ20" s="22" t="s">
        <v>768</v>
      </c>
      <c r="DI20" s="22" t="s">
        <v>768</v>
      </c>
      <c r="DJ20" s="22" t="s">
        <v>768</v>
      </c>
      <c r="DK20" s="22" t="s">
        <v>768</v>
      </c>
      <c r="DL20" s="22" t="s">
        <v>768</v>
      </c>
      <c r="DM20" s="22" t="s">
        <v>768</v>
      </c>
      <c r="DN20" s="22" t="s">
        <v>768</v>
      </c>
      <c r="DO20" s="22" t="s">
        <v>768</v>
      </c>
      <c r="DP20" s="22" t="s">
        <v>768</v>
      </c>
      <c r="DQ20" s="22" t="s">
        <v>768</v>
      </c>
      <c r="DR20" s="22" t="s">
        <v>768</v>
      </c>
      <c r="DS20" s="22" t="s">
        <v>768</v>
      </c>
      <c r="ED20" s="22" t="s">
        <v>768</v>
      </c>
      <c r="EE20" s="22" t="s">
        <v>768</v>
      </c>
      <c r="EF20" s="22" t="s">
        <v>768</v>
      </c>
      <c r="EG20" s="22" t="s">
        <v>768</v>
      </c>
      <c r="EH20" s="22" t="s">
        <v>768</v>
      </c>
      <c r="EI20" s="22" t="s">
        <v>768</v>
      </c>
      <c r="EJ20" s="22" t="s">
        <v>768</v>
      </c>
      <c r="EK20" s="22" t="s">
        <v>768</v>
      </c>
      <c r="EL20" s="22" t="s">
        <v>768</v>
      </c>
      <c r="EM20" s="22" t="s">
        <v>768</v>
      </c>
      <c r="EN20" s="22" t="s">
        <v>768</v>
      </c>
      <c r="EO20" s="22" t="s">
        <v>768</v>
      </c>
      <c r="EP20" s="22" t="s">
        <v>768</v>
      </c>
      <c r="FA20" s="22" t="s">
        <v>768</v>
      </c>
      <c r="FB20" s="22" t="s">
        <v>768</v>
      </c>
      <c r="FC20" s="22" t="s">
        <v>768</v>
      </c>
      <c r="FD20" s="22" t="s">
        <v>768</v>
      </c>
      <c r="FE20" s="22" t="s">
        <v>768</v>
      </c>
      <c r="FF20" s="22" t="s">
        <v>768</v>
      </c>
      <c r="FG20" s="22" t="s">
        <v>768</v>
      </c>
      <c r="FH20" s="22" t="s">
        <v>768</v>
      </c>
      <c r="FI20" s="22" t="s">
        <v>768</v>
      </c>
      <c r="FJ20" s="22" t="s">
        <v>768</v>
      </c>
      <c r="FK20" s="22" t="s">
        <v>768</v>
      </c>
      <c r="FL20" s="22" t="s">
        <v>768</v>
      </c>
      <c r="FM20" s="22" t="s">
        <v>768</v>
      </c>
      <c r="FY20" s="22" t="s">
        <v>768</v>
      </c>
      <c r="FZ20" s="22" t="s">
        <v>768</v>
      </c>
      <c r="GA20" s="22" t="s">
        <v>768</v>
      </c>
      <c r="GB20" s="22" t="s">
        <v>768</v>
      </c>
      <c r="GC20" s="22" t="s">
        <v>768</v>
      </c>
      <c r="GD20" s="22" t="s">
        <v>768</v>
      </c>
      <c r="GE20" s="22" t="s">
        <v>768</v>
      </c>
      <c r="GF20" s="22" t="s">
        <v>768</v>
      </c>
      <c r="GG20" s="22" t="s">
        <v>768</v>
      </c>
      <c r="GH20" s="22" t="s">
        <v>768</v>
      </c>
      <c r="GI20" s="22" t="s">
        <v>768</v>
      </c>
      <c r="GJ20" s="22" t="s">
        <v>768</v>
      </c>
      <c r="GK20" s="22" t="s">
        <v>768</v>
      </c>
      <c r="GL20" s="22" t="s">
        <v>768</v>
      </c>
      <c r="GU20" s="22" t="s">
        <v>768</v>
      </c>
      <c r="GV20" s="22" t="s">
        <v>768</v>
      </c>
      <c r="GW20" s="22" t="s">
        <v>768</v>
      </c>
      <c r="GX20" s="22" t="s">
        <v>768</v>
      </c>
      <c r="GY20" s="22" t="s">
        <v>768</v>
      </c>
      <c r="GZ20" s="22" t="s">
        <v>768</v>
      </c>
      <c r="HA20" s="22" t="s">
        <v>768</v>
      </c>
      <c r="HB20" s="22" t="s">
        <v>768</v>
      </c>
      <c r="HC20" s="22" t="s">
        <v>768</v>
      </c>
      <c r="HD20" s="22" t="s">
        <v>768</v>
      </c>
      <c r="HE20" s="22" t="s">
        <v>768</v>
      </c>
      <c r="HN20" s="22" t="s">
        <v>768</v>
      </c>
      <c r="HO20" s="22" t="s">
        <v>768</v>
      </c>
      <c r="HP20" s="22" t="s">
        <v>768</v>
      </c>
      <c r="HQ20" s="22" t="s">
        <v>768</v>
      </c>
      <c r="HR20" s="22" t="s">
        <v>768</v>
      </c>
      <c r="HS20" s="22" t="s">
        <v>768</v>
      </c>
      <c r="HT20" s="22" t="s">
        <v>768</v>
      </c>
      <c r="HU20" s="22" t="s">
        <v>768</v>
      </c>
      <c r="IO20" s="22" t="s">
        <v>768</v>
      </c>
      <c r="IP20" s="22" t="s">
        <v>768</v>
      </c>
      <c r="IQ20" s="22" t="s">
        <v>768</v>
      </c>
      <c r="JC20" s="22" t="s">
        <v>768</v>
      </c>
      <c r="JD20" s="22" t="s">
        <v>768</v>
      </c>
      <c r="JE20" s="22" t="s">
        <v>768</v>
      </c>
      <c r="JF20" s="22" t="s">
        <v>768</v>
      </c>
      <c r="JG20" s="22" t="s">
        <v>768</v>
      </c>
      <c r="JH20" s="22" t="s">
        <v>768</v>
      </c>
      <c r="JI20" s="22" t="s">
        <v>768</v>
      </c>
      <c r="JJ20" s="22" t="s">
        <v>768</v>
      </c>
      <c r="JK20" s="22" t="s">
        <v>768</v>
      </c>
      <c r="JL20" s="22" t="s">
        <v>768</v>
      </c>
      <c r="JM20" s="22" t="s">
        <v>768</v>
      </c>
      <c r="LN20" s="22" t="s">
        <v>768</v>
      </c>
      <c r="LO20" s="22" t="s">
        <v>768</v>
      </c>
      <c r="LP20" s="22" t="s">
        <v>768</v>
      </c>
      <c r="LW20" s="22" t="s">
        <v>768</v>
      </c>
      <c r="LX20" s="22" t="s">
        <v>768</v>
      </c>
      <c r="LY20" s="22" t="s">
        <v>768</v>
      </c>
      <c r="LZ20" s="22" t="s">
        <v>768</v>
      </c>
      <c r="MA20" s="22" t="s">
        <v>768</v>
      </c>
      <c r="MB20" s="22" t="s">
        <v>768</v>
      </c>
      <c r="MC20" s="22" t="s">
        <v>768</v>
      </c>
      <c r="MD20" s="22" t="s">
        <v>768</v>
      </c>
      <c r="ME20" s="22" t="s">
        <v>768</v>
      </c>
      <c r="MN20" s="22" t="s">
        <v>768</v>
      </c>
      <c r="MO20" s="22" t="s">
        <v>768</v>
      </c>
      <c r="MP20" s="22" t="s">
        <v>768</v>
      </c>
      <c r="MQ20" s="22" t="s">
        <v>768</v>
      </c>
      <c r="MR20" s="22" t="s">
        <v>768</v>
      </c>
      <c r="MS20" s="22" t="s">
        <v>768</v>
      </c>
      <c r="MT20" s="22" t="s">
        <v>768</v>
      </c>
      <c r="MU20" s="22" t="s">
        <v>768</v>
      </c>
      <c r="NK20" s="22" t="s">
        <v>768</v>
      </c>
      <c r="NL20" s="22" t="s">
        <v>768</v>
      </c>
      <c r="NM20" s="22" t="s">
        <v>768</v>
      </c>
      <c r="OA20" s="22" t="s">
        <v>768</v>
      </c>
      <c r="OB20" s="22" t="s">
        <v>768</v>
      </c>
      <c r="OC20" s="22" t="s">
        <v>768</v>
      </c>
      <c r="OD20" s="22" t="s">
        <v>768</v>
      </c>
      <c r="OE20" s="22" t="s">
        <v>768</v>
      </c>
      <c r="OF20" s="22" t="s">
        <v>768</v>
      </c>
      <c r="OG20" s="22" t="s">
        <v>768</v>
      </c>
      <c r="OH20" s="22" t="s">
        <v>768</v>
      </c>
      <c r="OI20" s="22" t="s">
        <v>768</v>
      </c>
      <c r="OJ20" s="22" t="s">
        <v>768</v>
      </c>
      <c r="OK20" s="22" t="s">
        <v>768</v>
      </c>
      <c r="OL20" s="22" t="s">
        <v>768</v>
      </c>
      <c r="OM20" s="22" t="s">
        <v>768</v>
      </c>
      <c r="ON20" s="22" t="s">
        <v>768</v>
      </c>
      <c r="OO20" s="22" t="s">
        <v>768</v>
      </c>
      <c r="OP20" s="22" t="s">
        <v>768</v>
      </c>
      <c r="OZ20" s="22" t="s">
        <v>768</v>
      </c>
      <c r="PA20" s="22" t="s">
        <v>768</v>
      </c>
      <c r="PB20" s="22" t="s">
        <v>768</v>
      </c>
      <c r="PC20" s="22" t="s">
        <v>768</v>
      </c>
      <c r="PD20" s="22" t="s">
        <v>768</v>
      </c>
      <c r="PE20" s="22" t="s">
        <v>768</v>
      </c>
      <c r="PF20" s="22" t="s">
        <v>768</v>
      </c>
      <c r="PG20" s="22" t="s">
        <v>768</v>
      </c>
      <c r="PH20" s="22" t="s">
        <v>768</v>
      </c>
      <c r="QH20" s="22" t="s">
        <v>768</v>
      </c>
      <c r="QI20" s="22" t="s">
        <v>768</v>
      </c>
      <c r="QJ20" s="22" t="s">
        <v>768</v>
      </c>
      <c r="QX20" s="22" t="s">
        <v>768</v>
      </c>
      <c r="QY20" s="22" t="s">
        <v>768</v>
      </c>
      <c r="QZ20" s="22" t="s">
        <v>768</v>
      </c>
      <c r="RA20" s="22" t="s">
        <v>768</v>
      </c>
      <c r="RB20" s="22" t="s">
        <v>768</v>
      </c>
      <c r="RC20" s="22" t="s">
        <v>768</v>
      </c>
      <c r="RD20" s="22" t="s">
        <v>768</v>
      </c>
      <c r="RE20" s="22" t="s">
        <v>768</v>
      </c>
      <c r="RF20" s="22" t="s">
        <v>768</v>
      </c>
      <c r="RG20" s="22" t="s">
        <v>768</v>
      </c>
      <c r="RH20" s="22" t="s">
        <v>768</v>
      </c>
      <c r="RI20" s="22" t="s">
        <v>768</v>
      </c>
      <c r="RJ20" s="22" t="s">
        <v>768</v>
      </c>
      <c r="RK20" s="22" t="s">
        <v>768</v>
      </c>
      <c r="RL20" s="22" t="s">
        <v>768</v>
      </c>
      <c r="RM20" s="22" t="s">
        <v>768</v>
      </c>
      <c r="SD20" s="22" t="s">
        <v>768</v>
      </c>
      <c r="SE20" s="22" t="s">
        <v>768</v>
      </c>
      <c r="SF20" s="22" t="s">
        <v>768</v>
      </c>
      <c r="SG20" s="22" t="s">
        <v>768</v>
      </c>
      <c r="SH20" s="22" t="s">
        <v>768</v>
      </c>
      <c r="SI20" s="22" t="s">
        <v>768</v>
      </c>
      <c r="SJ20" s="22" t="s">
        <v>768</v>
      </c>
      <c r="SK20" s="22" t="s">
        <v>768</v>
      </c>
      <c r="SL20" s="22" t="s">
        <v>768</v>
      </c>
      <c r="SM20" s="22" t="s">
        <v>768</v>
      </c>
      <c r="SN20" s="22" t="s">
        <v>768</v>
      </c>
      <c r="SO20" s="22" t="s">
        <v>768</v>
      </c>
      <c r="SP20" s="22" t="s">
        <v>768</v>
      </c>
      <c r="SQ20" s="22" t="s">
        <v>768</v>
      </c>
      <c r="SR20" s="22" t="s">
        <v>768</v>
      </c>
      <c r="SS20" s="22" t="s">
        <v>768</v>
      </c>
      <c r="ST20" s="22" t="s">
        <v>768</v>
      </c>
      <c r="SU20" s="22" t="s">
        <v>768</v>
      </c>
      <c r="SV20" s="22" t="s">
        <v>768</v>
      </c>
      <c r="TE20" s="22" t="s">
        <v>768</v>
      </c>
      <c r="TF20" s="22" t="s">
        <v>768</v>
      </c>
      <c r="TG20" s="22" t="s">
        <v>768</v>
      </c>
      <c r="TH20" s="22" t="s">
        <v>768</v>
      </c>
      <c r="TI20" s="22" t="s">
        <v>768</v>
      </c>
      <c r="TJ20" s="22" t="s">
        <v>768</v>
      </c>
      <c r="TK20" s="22" t="s">
        <v>768</v>
      </c>
      <c r="TL20" s="22" t="s">
        <v>768</v>
      </c>
      <c r="TM20" s="22" t="s">
        <v>768</v>
      </c>
      <c r="TN20" s="22" t="s">
        <v>768</v>
      </c>
      <c r="TO20" s="22" t="s">
        <v>768</v>
      </c>
      <c r="TW20" s="22" t="s">
        <v>768</v>
      </c>
      <c r="TX20" s="22" t="s">
        <v>768</v>
      </c>
      <c r="TY20" s="22" t="s">
        <v>768</v>
      </c>
      <c r="TZ20" s="22" t="s">
        <v>768</v>
      </c>
      <c r="UA20" s="22" t="s">
        <v>768</v>
      </c>
      <c r="UB20" s="22" t="s">
        <v>768</v>
      </c>
      <c r="UC20" s="22" t="s">
        <v>768</v>
      </c>
      <c r="UU20" s="22" t="s">
        <v>768</v>
      </c>
      <c r="UV20" s="22" t="s">
        <v>768</v>
      </c>
      <c r="UW20" s="22" t="s">
        <v>768</v>
      </c>
      <c r="VJ20" s="22" t="s">
        <v>768</v>
      </c>
      <c r="VK20" s="22" t="s">
        <v>768</v>
      </c>
      <c r="VL20" s="22" t="s">
        <v>768</v>
      </c>
      <c r="VM20" s="22" t="s">
        <v>768</v>
      </c>
      <c r="VN20" s="22" t="s">
        <v>768</v>
      </c>
      <c r="VO20" s="22" t="s">
        <v>768</v>
      </c>
      <c r="VP20" s="22" t="s">
        <v>768</v>
      </c>
      <c r="VQ20" s="22" t="s">
        <v>768</v>
      </c>
      <c r="VR20" s="22" t="s">
        <v>768</v>
      </c>
      <c r="VS20" s="22" t="s">
        <v>768</v>
      </c>
      <c r="VT20" s="22" t="s">
        <v>768</v>
      </c>
      <c r="VU20" s="22" t="s">
        <v>768</v>
      </c>
      <c r="VV20" s="22" t="s">
        <v>768</v>
      </c>
      <c r="VW20" s="22" t="s">
        <v>768</v>
      </c>
      <c r="VX20" s="22" t="s">
        <v>768</v>
      </c>
      <c r="WF20" s="22" t="s">
        <v>768</v>
      </c>
      <c r="WG20" s="22" t="s">
        <v>768</v>
      </c>
      <c r="WH20" s="22" t="s">
        <v>768</v>
      </c>
      <c r="WI20" s="22" t="s">
        <v>768</v>
      </c>
      <c r="WJ20" s="22" t="s">
        <v>768</v>
      </c>
      <c r="WK20" s="22" t="s">
        <v>768</v>
      </c>
      <c r="WL20" s="22" t="s">
        <v>768</v>
      </c>
      <c r="WM20" s="22" t="s">
        <v>768</v>
      </c>
      <c r="WN20" s="22" t="s">
        <v>768</v>
      </c>
      <c r="WO20" s="22" t="s">
        <v>768</v>
      </c>
      <c r="WZ20" s="22" t="s">
        <v>768</v>
      </c>
      <c r="XA20" s="22" t="s">
        <v>768</v>
      </c>
      <c r="XB20" s="22" t="s">
        <v>768</v>
      </c>
      <c r="XC20" s="22" t="s">
        <v>768</v>
      </c>
      <c r="XD20" s="22" t="s">
        <v>768</v>
      </c>
      <c r="XE20" s="22" t="s">
        <v>768</v>
      </c>
      <c r="XF20" s="22" t="s">
        <v>768</v>
      </c>
      <c r="XG20" s="22" t="s">
        <v>768</v>
      </c>
      <c r="XH20" s="22" t="s">
        <v>768</v>
      </c>
      <c r="XI20" s="22" t="s">
        <v>768</v>
      </c>
      <c r="XJ20" s="22" t="s">
        <v>768</v>
      </c>
      <c r="XK20" s="22" t="s">
        <v>768</v>
      </c>
      <c r="XL20" s="22" t="s">
        <v>768</v>
      </c>
      <c r="XU20" s="22" t="s">
        <v>768</v>
      </c>
      <c r="XV20" s="22" t="s">
        <v>768</v>
      </c>
      <c r="XW20" s="22" t="s">
        <v>768</v>
      </c>
      <c r="XX20" s="22" t="s">
        <v>768</v>
      </c>
      <c r="XY20" s="22" t="s">
        <v>768</v>
      </c>
      <c r="XZ20" s="22" t="s">
        <v>768</v>
      </c>
      <c r="YA20" s="22" t="s">
        <v>768</v>
      </c>
      <c r="YB20" s="22" t="s">
        <v>768</v>
      </c>
      <c r="YC20" s="22" t="s">
        <v>768</v>
      </c>
      <c r="YD20" s="22" t="s">
        <v>768</v>
      </c>
      <c r="YE20" s="22" t="s">
        <v>768</v>
      </c>
      <c r="YS20" s="22" t="s">
        <v>768</v>
      </c>
      <c r="YT20" s="22" t="s">
        <v>768</v>
      </c>
      <c r="YU20" s="22" t="s">
        <v>768</v>
      </c>
      <c r="YV20" s="22" t="s">
        <v>768</v>
      </c>
      <c r="YW20" s="22" t="s">
        <v>768</v>
      </c>
      <c r="YX20" s="22" t="s">
        <v>768</v>
      </c>
      <c r="YY20" s="22" t="s">
        <v>768</v>
      </c>
      <c r="YZ20" s="22" t="s">
        <v>768</v>
      </c>
      <c r="ZA20" s="22" t="s">
        <v>768</v>
      </c>
      <c r="ZB20" s="22" t="s">
        <v>768</v>
      </c>
      <c r="ZC20" s="22" t="s">
        <v>768</v>
      </c>
      <c r="ZD20" s="22" t="s">
        <v>768</v>
      </c>
      <c r="ZE20" s="22" t="s">
        <v>768</v>
      </c>
      <c r="ZF20" s="22" t="s">
        <v>768</v>
      </c>
      <c r="ZG20" s="22" t="s">
        <v>768</v>
      </c>
      <c r="ZH20" s="22" t="s">
        <v>768</v>
      </c>
      <c r="ZS20" s="22" t="s">
        <v>768</v>
      </c>
      <c r="ZT20" s="22" t="s">
        <v>768</v>
      </c>
      <c r="ZU20" s="22" t="s">
        <v>768</v>
      </c>
      <c r="ZV20" s="22" t="s">
        <v>768</v>
      </c>
      <c r="ZW20" s="22" t="s">
        <v>768</v>
      </c>
      <c r="ZX20" s="22" t="s">
        <v>768</v>
      </c>
      <c r="ZY20" s="22" t="s">
        <v>768</v>
      </c>
      <c r="ZZ20" s="22" t="s">
        <v>768</v>
      </c>
      <c r="AAA20" s="22" t="s">
        <v>768</v>
      </c>
      <c r="AAB20" s="22" t="s">
        <v>768</v>
      </c>
    </row>
    <row r="21" spans="1:704" x14ac:dyDescent="0.3">
      <c r="A21" s="22">
        <v>20</v>
      </c>
      <c r="B21" s="22">
        <v>20</v>
      </c>
      <c r="C21" s="23">
        <v>44426.400859803238</v>
      </c>
      <c r="D21" s="23">
        <v>44426.40941547454</v>
      </c>
      <c r="E21" s="22" t="s">
        <v>761</v>
      </c>
      <c r="J21" s="22" t="s">
        <v>762</v>
      </c>
      <c r="K21" s="22" t="s">
        <v>763</v>
      </c>
      <c r="T21" s="22" t="s">
        <v>845</v>
      </c>
      <c r="U21" s="22" t="s">
        <v>787</v>
      </c>
      <c r="V21" s="22" t="s">
        <v>846</v>
      </c>
      <c r="W21" s="22" t="s">
        <v>847</v>
      </c>
      <c r="X21" s="22" t="s">
        <v>848</v>
      </c>
      <c r="Y21" s="22">
        <v>1</v>
      </c>
      <c r="Z21" s="22">
        <v>1</v>
      </c>
      <c r="AA21" s="22">
        <v>2</v>
      </c>
      <c r="AB21" s="22">
        <v>2</v>
      </c>
      <c r="AC21" s="22">
        <v>3</v>
      </c>
      <c r="AD21" s="22">
        <v>3</v>
      </c>
      <c r="AE21" s="22">
        <v>2</v>
      </c>
      <c r="AF21" s="22" t="s">
        <v>849</v>
      </c>
      <c r="AG21" s="22" t="s">
        <v>849</v>
      </c>
      <c r="AH21" s="22" t="s">
        <v>849</v>
      </c>
      <c r="AI21" s="22" t="s">
        <v>849</v>
      </c>
      <c r="AJ21" s="22" t="s">
        <v>850</v>
      </c>
      <c r="AK21" s="22" t="s">
        <v>851</v>
      </c>
      <c r="AL21" s="22" t="s">
        <v>852</v>
      </c>
      <c r="AM21" s="22">
        <v>2</v>
      </c>
      <c r="AN21" s="22">
        <v>2</v>
      </c>
      <c r="AO21" s="22">
        <v>2</v>
      </c>
      <c r="AP21" s="22">
        <v>1</v>
      </c>
      <c r="AQ21" s="22">
        <v>1</v>
      </c>
      <c r="AR21" s="22">
        <v>2</v>
      </c>
      <c r="AS21" s="22">
        <v>2</v>
      </c>
      <c r="AT21" s="22">
        <v>1</v>
      </c>
      <c r="AU21" s="22">
        <v>2</v>
      </c>
      <c r="AV21" s="22" t="s">
        <v>853</v>
      </c>
      <c r="AW21" s="22" t="s">
        <v>853</v>
      </c>
      <c r="AX21" s="22" t="s">
        <v>853</v>
      </c>
      <c r="AY21" s="22" t="s">
        <v>853</v>
      </c>
      <c r="AZ21" s="22" t="s">
        <v>853</v>
      </c>
      <c r="BA21" s="22" t="s">
        <v>853</v>
      </c>
      <c r="BB21" s="22" t="s">
        <v>853</v>
      </c>
      <c r="BC21" s="22" t="s">
        <v>853</v>
      </c>
      <c r="BD21" s="22" t="s">
        <v>853</v>
      </c>
      <c r="BE21" s="22">
        <v>1</v>
      </c>
      <c r="BF21" s="22">
        <v>2</v>
      </c>
      <c r="BG21" s="22">
        <v>2</v>
      </c>
      <c r="BH21" s="22">
        <v>3</v>
      </c>
      <c r="BI21" s="22">
        <v>1</v>
      </c>
      <c r="BJ21" s="22">
        <v>1</v>
      </c>
      <c r="BK21" s="22">
        <v>1</v>
      </c>
      <c r="BL21" s="22" t="s">
        <v>853</v>
      </c>
      <c r="BM21" s="22" t="s">
        <v>853</v>
      </c>
      <c r="BN21" s="22" t="s">
        <v>853</v>
      </c>
      <c r="BO21" s="22" t="s">
        <v>853</v>
      </c>
      <c r="BP21" s="22" t="s">
        <v>853</v>
      </c>
      <c r="BQ21" s="22" t="s">
        <v>853</v>
      </c>
      <c r="BR21" s="22" t="s">
        <v>853</v>
      </c>
      <c r="BS21" s="22">
        <v>1</v>
      </c>
      <c r="BT21" s="22">
        <v>1</v>
      </c>
      <c r="BU21" s="22">
        <v>3</v>
      </c>
      <c r="BV21" s="22">
        <v>3</v>
      </c>
      <c r="BW21" s="22" t="s">
        <v>768</v>
      </c>
      <c r="BX21" s="22" t="s">
        <v>768</v>
      </c>
      <c r="BY21" s="22" t="s">
        <v>854</v>
      </c>
      <c r="BZ21" s="22" t="s">
        <v>854</v>
      </c>
      <c r="CA21" s="22" t="s">
        <v>835</v>
      </c>
      <c r="CB21" s="22" t="s">
        <v>855</v>
      </c>
      <c r="CC21" s="22" t="s">
        <v>768</v>
      </c>
      <c r="CD21" s="22">
        <v>1</v>
      </c>
      <c r="CE21" s="22">
        <v>1</v>
      </c>
      <c r="CG21" s="22">
        <v>1</v>
      </c>
      <c r="CH21" s="22">
        <v>1</v>
      </c>
      <c r="CI21" s="22">
        <v>1</v>
      </c>
      <c r="CJ21" s="22">
        <v>1</v>
      </c>
      <c r="CK21" s="22">
        <v>1</v>
      </c>
      <c r="CN21" s="22" t="s">
        <v>856</v>
      </c>
      <c r="CO21" s="22" t="s">
        <v>856</v>
      </c>
      <c r="CP21" s="22" t="s">
        <v>857</v>
      </c>
      <c r="CQ21" s="22" t="s">
        <v>768</v>
      </c>
      <c r="CR21" s="22" t="s">
        <v>856</v>
      </c>
      <c r="CS21" s="22" t="s">
        <v>768</v>
      </c>
      <c r="CT21" s="22" t="s">
        <v>768</v>
      </c>
      <c r="CU21" s="22" t="s">
        <v>858</v>
      </c>
      <c r="CV21" s="22" t="s">
        <v>859</v>
      </c>
      <c r="CW21" s="22" t="s">
        <v>768</v>
      </c>
      <c r="CX21" s="22" t="s">
        <v>768</v>
      </c>
      <c r="CY21" s="22" t="s">
        <v>856</v>
      </c>
      <c r="CZ21" s="22" t="s">
        <v>768</v>
      </c>
      <c r="DA21" s="22">
        <v>1</v>
      </c>
      <c r="DB21" s="22">
        <v>1</v>
      </c>
      <c r="DC21" s="22">
        <v>1</v>
      </c>
      <c r="DD21" s="22">
        <v>1</v>
      </c>
      <c r="DE21" s="22">
        <v>1</v>
      </c>
      <c r="DG21" s="22">
        <v>1</v>
      </c>
      <c r="DI21" s="22" t="s">
        <v>768</v>
      </c>
      <c r="DJ21" s="22" t="s">
        <v>860</v>
      </c>
      <c r="DK21" s="22" t="s">
        <v>860</v>
      </c>
      <c r="DL21" s="22" t="s">
        <v>768</v>
      </c>
      <c r="DM21" s="22" t="s">
        <v>860</v>
      </c>
      <c r="DN21" s="22" t="s">
        <v>768</v>
      </c>
      <c r="DO21" s="22" t="s">
        <v>860</v>
      </c>
      <c r="DP21" s="22" t="s">
        <v>768</v>
      </c>
      <c r="DQ21" s="22" t="s">
        <v>861</v>
      </c>
      <c r="DR21" s="22" t="s">
        <v>768</v>
      </c>
      <c r="DS21" s="22" t="s">
        <v>768</v>
      </c>
      <c r="DT21" s="22">
        <v>2</v>
      </c>
      <c r="DU21" s="22">
        <v>2</v>
      </c>
      <c r="DV21" s="22">
        <v>2</v>
      </c>
      <c r="ED21" s="22" t="s">
        <v>768</v>
      </c>
      <c r="EE21" s="22" t="s">
        <v>768</v>
      </c>
      <c r="EF21" s="22" t="s">
        <v>768</v>
      </c>
      <c r="EG21" s="22" t="s">
        <v>768</v>
      </c>
      <c r="EH21" s="22" t="s">
        <v>768</v>
      </c>
      <c r="EI21" s="22" t="s">
        <v>768</v>
      </c>
      <c r="EJ21" s="22" t="s">
        <v>768</v>
      </c>
      <c r="EK21" s="22" t="s">
        <v>861</v>
      </c>
      <c r="EL21" s="22" t="s">
        <v>768</v>
      </c>
      <c r="EM21" s="22" t="s">
        <v>768</v>
      </c>
      <c r="EN21" s="22" t="s">
        <v>768</v>
      </c>
      <c r="EO21" s="22" t="s">
        <v>768</v>
      </c>
      <c r="EP21" s="22" t="s">
        <v>768</v>
      </c>
      <c r="EQ21" s="22">
        <v>2</v>
      </c>
      <c r="ER21" s="22">
        <v>2</v>
      </c>
      <c r="ES21" s="22">
        <v>2</v>
      </c>
      <c r="ET21" s="22">
        <v>2</v>
      </c>
      <c r="EU21" s="22">
        <v>2</v>
      </c>
      <c r="EV21" s="22">
        <v>2</v>
      </c>
      <c r="EW21" s="22">
        <v>2</v>
      </c>
      <c r="FA21" s="22" t="s">
        <v>862</v>
      </c>
      <c r="FB21" s="22" t="s">
        <v>862</v>
      </c>
      <c r="FC21" s="22" t="s">
        <v>862</v>
      </c>
      <c r="FD21" s="22" t="s">
        <v>862</v>
      </c>
      <c r="FE21" s="22" t="s">
        <v>862</v>
      </c>
      <c r="FF21" s="22" t="s">
        <v>862</v>
      </c>
      <c r="FG21" s="22" t="s">
        <v>862</v>
      </c>
      <c r="FH21" s="22" t="s">
        <v>768</v>
      </c>
      <c r="FI21" s="22" t="s">
        <v>768</v>
      </c>
      <c r="FJ21" s="22" t="s">
        <v>768</v>
      </c>
      <c r="FK21" s="22" t="s">
        <v>863</v>
      </c>
      <c r="FL21" s="22" t="s">
        <v>768</v>
      </c>
      <c r="FM21" s="22" t="s">
        <v>768</v>
      </c>
      <c r="FN21" s="22">
        <v>2</v>
      </c>
      <c r="FO21" s="22">
        <v>2</v>
      </c>
      <c r="FP21" s="22">
        <v>2</v>
      </c>
      <c r="FQ21" s="22">
        <v>2</v>
      </c>
      <c r="FR21" s="22">
        <v>2</v>
      </c>
      <c r="FS21" s="22">
        <v>2</v>
      </c>
      <c r="FT21" s="22">
        <v>2</v>
      </c>
      <c r="FU21" s="22">
        <v>2</v>
      </c>
      <c r="FY21" s="22" t="s">
        <v>853</v>
      </c>
      <c r="FZ21" s="22" t="s">
        <v>853</v>
      </c>
      <c r="GA21" s="22" t="s">
        <v>853</v>
      </c>
      <c r="GB21" s="22" t="s">
        <v>768</v>
      </c>
      <c r="GC21" s="22" t="s">
        <v>864</v>
      </c>
      <c r="GD21" s="22" t="s">
        <v>768</v>
      </c>
      <c r="GE21" s="22" t="s">
        <v>768</v>
      </c>
      <c r="GF21" s="22" t="s">
        <v>768</v>
      </c>
      <c r="GG21" s="22" t="s">
        <v>853</v>
      </c>
      <c r="GH21" s="22" t="s">
        <v>768</v>
      </c>
      <c r="GI21" s="22" t="s">
        <v>768</v>
      </c>
      <c r="GJ21" s="22" t="s">
        <v>768</v>
      </c>
      <c r="GK21" s="22" t="s">
        <v>768</v>
      </c>
      <c r="GL21" s="22" t="s">
        <v>768</v>
      </c>
      <c r="GO21" s="22">
        <v>2</v>
      </c>
      <c r="GU21" s="22" t="s">
        <v>768</v>
      </c>
      <c r="GV21" s="22" t="s">
        <v>768</v>
      </c>
      <c r="GW21" s="22" t="s">
        <v>768</v>
      </c>
      <c r="GX21" s="22" t="s">
        <v>768</v>
      </c>
      <c r="GY21" s="22" t="s">
        <v>768</v>
      </c>
      <c r="GZ21" s="22" t="s">
        <v>768</v>
      </c>
      <c r="HA21" s="22" t="s">
        <v>768</v>
      </c>
      <c r="HB21" s="22" t="s">
        <v>768</v>
      </c>
      <c r="HC21" s="22" t="s">
        <v>768</v>
      </c>
      <c r="HD21" s="22" t="s">
        <v>768</v>
      </c>
      <c r="HE21" s="22" t="s">
        <v>768</v>
      </c>
      <c r="HG21" s="22">
        <v>1</v>
      </c>
      <c r="HH21" s="22">
        <v>1</v>
      </c>
      <c r="HN21" s="22" t="s">
        <v>856</v>
      </c>
      <c r="HO21" s="22" t="s">
        <v>856</v>
      </c>
      <c r="HP21" s="22" t="s">
        <v>768</v>
      </c>
      <c r="HQ21" s="22" t="s">
        <v>856</v>
      </c>
      <c r="HR21" s="22" t="s">
        <v>768</v>
      </c>
      <c r="HS21" s="22" t="s">
        <v>768</v>
      </c>
      <c r="HT21" s="22" t="s">
        <v>768</v>
      </c>
      <c r="HU21" s="22" t="s">
        <v>768</v>
      </c>
      <c r="HV21" s="22" t="s">
        <v>865</v>
      </c>
      <c r="HW21" s="22" t="s">
        <v>768</v>
      </c>
      <c r="HX21" s="22" t="s">
        <v>768</v>
      </c>
      <c r="HY21" s="22">
        <v>2</v>
      </c>
      <c r="HZ21" s="22">
        <v>2</v>
      </c>
      <c r="IC21" s="22">
        <v>2</v>
      </c>
      <c r="ID21" s="22">
        <v>2</v>
      </c>
      <c r="IG21" s="22" t="s">
        <v>768</v>
      </c>
      <c r="IH21" s="22" t="s">
        <v>768</v>
      </c>
      <c r="II21" s="22" t="s">
        <v>768</v>
      </c>
      <c r="IJ21" s="22" t="s">
        <v>768</v>
      </c>
      <c r="IK21" s="22" t="s">
        <v>866</v>
      </c>
      <c r="IL21" s="22" t="s">
        <v>865</v>
      </c>
      <c r="IM21" s="22" t="s">
        <v>768</v>
      </c>
      <c r="IN21" s="22" t="s">
        <v>768</v>
      </c>
      <c r="IO21" s="22" t="s">
        <v>856</v>
      </c>
      <c r="IP21" s="22" t="s">
        <v>768</v>
      </c>
      <c r="IQ21" s="22" t="s">
        <v>768</v>
      </c>
      <c r="IR21" s="22">
        <v>2</v>
      </c>
      <c r="IS21" s="22">
        <v>2</v>
      </c>
      <c r="IU21" s="22">
        <v>2</v>
      </c>
      <c r="IX21" s="22">
        <v>2</v>
      </c>
      <c r="IZ21" s="22">
        <v>2</v>
      </c>
      <c r="JC21" s="22" t="s">
        <v>867</v>
      </c>
      <c r="JD21" s="22" t="s">
        <v>868</v>
      </c>
      <c r="JE21" s="22" t="s">
        <v>768</v>
      </c>
      <c r="JF21" s="22" t="s">
        <v>869</v>
      </c>
      <c r="JG21" s="22" t="s">
        <v>768</v>
      </c>
      <c r="JH21" s="22" t="s">
        <v>768</v>
      </c>
      <c r="JI21" s="22" t="s">
        <v>3</v>
      </c>
      <c r="JJ21" s="22" t="s">
        <v>768</v>
      </c>
      <c r="JK21" s="22" t="s">
        <v>870</v>
      </c>
      <c r="JL21" s="22" t="s">
        <v>768</v>
      </c>
      <c r="JM21" s="22" t="s">
        <v>768</v>
      </c>
      <c r="JN21" s="22" t="s">
        <v>768</v>
      </c>
      <c r="JO21" s="22" t="s">
        <v>768</v>
      </c>
      <c r="JP21" s="22" t="s">
        <v>768</v>
      </c>
      <c r="JZ21" s="22" t="s">
        <v>768</v>
      </c>
      <c r="KA21" s="22" t="s">
        <v>768</v>
      </c>
      <c r="KB21" s="22" t="s">
        <v>768</v>
      </c>
      <c r="KC21" s="22" t="s">
        <v>768</v>
      </c>
      <c r="KD21" s="22" t="s">
        <v>768</v>
      </c>
      <c r="KE21" s="22" t="s">
        <v>768</v>
      </c>
      <c r="KF21" s="22" t="s">
        <v>768</v>
      </c>
      <c r="KG21" s="22" t="s">
        <v>768</v>
      </c>
      <c r="KH21" s="22" t="s">
        <v>768</v>
      </c>
      <c r="KI21" s="22" t="s">
        <v>768</v>
      </c>
      <c r="KJ21" s="22" t="s">
        <v>768</v>
      </c>
      <c r="KK21" s="22" t="s">
        <v>867</v>
      </c>
      <c r="KL21" s="22">
        <v>1</v>
      </c>
      <c r="KM21" s="22">
        <v>1</v>
      </c>
      <c r="KP21" s="22">
        <v>1</v>
      </c>
      <c r="KY21" s="22">
        <v>1</v>
      </c>
      <c r="KZ21" s="22" t="s">
        <v>768</v>
      </c>
      <c r="LA21" s="22" t="s">
        <v>768</v>
      </c>
      <c r="LB21" s="22" t="s">
        <v>768</v>
      </c>
      <c r="LC21" s="22" t="s">
        <v>768</v>
      </c>
      <c r="LD21" s="22" t="s">
        <v>768</v>
      </c>
      <c r="LE21" s="22" t="s">
        <v>768</v>
      </c>
      <c r="LF21" s="22" t="s">
        <v>768</v>
      </c>
      <c r="LG21" s="22" t="s">
        <v>768</v>
      </c>
      <c r="LH21" s="22" t="s">
        <v>768</v>
      </c>
      <c r="LI21" s="22" t="s">
        <v>768</v>
      </c>
      <c r="LJ21" s="22" t="s">
        <v>768</v>
      </c>
      <c r="LK21" s="22" t="s">
        <v>768</v>
      </c>
      <c r="LL21" s="22" t="s">
        <v>768</v>
      </c>
      <c r="LM21" s="22" t="s">
        <v>871</v>
      </c>
      <c r="LN21" s="22" t="s">
        <v>768</v>
      </c>
      <c r="LO21" s="22" t="s">
        <v>768</v>
      </c>
      <c r="LP21" s="22" t="s">
        <v>768</v>
      </c>
      <c r="LS21" s="22">
        <v>1</v>
      </c>
      <c r="LW21" s="22" t="s">
        <v>768</v>
      </c>
      <c r="LX21" s="22" t="s">
        <v>768</v>
      </c>
      <c r="LY21" s="22" t="s">
        <v>867</v>
      </c>
      <c r="LZ21" s="22" t="s">
        <v>768</v>
      </c>
      <c r="MA21" s="22" t="s">
        <v>768</v>
      </c>
      <c r="MB21" s="22" t="s">
        <v>768</v>
      </c>
      <c r="MC21" s="22" t="s">
        <v>768</v>
      </c>
      <c r="MD21" s="22" t="s">
        <v>768</v>
      </c>
      <c r="ME21" s="22" t="s">
        <v>768</v>
      </c>
      <c r="MF21" s="22">
        <v>2</v>
      </c>
      <c r="MH21" s="22">
        <v>2</v>
      </c>
      <c r="MI21" s="22">
        <v>2</v>
      </c>
      <c r="MN21" s="22" t="s">
        <v>3</v>
      </c>
      <c r="MO21" s="22" t="s">
        <v>768</v>
      </c>
      <c r="MP21" s="22" t="s">
        <v>867</v>
      </c>
      <c r="MQ21" s="22" t="s">
        <v>872</v>
      </c>
      <c r="MR21" s="22" t="s">
        <v>768</v>
      </c>
      <c r="MS21" s="22" t="s">
        <v>768</v>
      </c>
      <c r="MT21" s="22" t="s">
        <v>768</v>
      </c>
      <c r="MU21" s="22" t="s">
        <v>768</v>
      </c>
      <c r="MV21" s="22" t="s">
        <v>768</v>
      </c>
      <c r="MW21" s="22" t="s">
        <v>768</v>
      </c>
      <c r="MX21" s="22" t="s">
        <v>768</v>
      </c>
      <c r="MZ21" s="22">
        <v>3</v>
      </c>
      <c r="NA21" s="22">
        <v>3</v>
      </c>
      <c r="NE21" s="22" t="s">
        <v>768</v>
      </c>
      <c r="NF21" s="22" t="s">
        <v>873</v>
      </c>
      <c r="NG21" s="22" t="s">
        <v>873</v>
      </c>
      <c r="NH21" s="22" t="s">
        <v>768</v>
      </c>
      <c r="NI21" s="22" t="s">
        <v>768</v>
      </c>
      <c r="NJ21" s="22" t="s">
        <v>768</v>
      </c>
      <c r="NK21" s="22" t="s">
        <v>874</v>
      </c>
      <c r="NL21" s="22" t="s">
        <v>768</v>
      </c>
      <c r="NM21" s="22" t="s">
        <v>768</v>
      </c>
      <c r="NO21" s="22">
        <v>3</v>
      </c>
      <c r="NP21" s="22">
        <v>3</v>
      </c>
      <c r="NX21" s="22">
        <v>3</v>
      </c>
      <c r="OA21" s="22" t="s">
        <v>768</v>
      </c>
      <c r="OB21" s="22" t="s">
        <v>875</v>
      </c>
      <c r="OC21" s="22" t="s">
        <v>876</v>
      </c>
      <c r="OD21" s="22" t="s">
        <v>768</v>
      </c>
      <c r="OE21" s="22" t="s">
        <v>768</v>
      </c>
      <c r="OF21" s="22" t="s">
        <v>768</v>
      </c>
      <c r="OG21" s="22" t="s">
        <v>768</v>
      </c>
      <c r="OH21" s="22" t="s">
        <v>768</v>
      </c>
      <c r="OI21" s="22" t="s">
        <v>768</v>
      </c>
      <c r="OJ21" s="22" t="s">
        <v>768</v>
      </c>
      <c r="OK21" s="22" t="s">
        <v>877</v>
      </c>
      <c r="OL21" s="22" t="s">
        <v>768</v>
      </c>
      <c r="OM21" s="22" t="s">
        <v>768</v>
      </c>
      <c r="ON21" s="22" t="s">
        <v>768</v>
      </c>
      <c r="OO21" s="22" t="s">
        <v>768</v>
      </c>
      <c r="OP21" s="22" t="s">
        <v>768</v>
      </c>
      <c r="OT21" s="22">
        <v>2</v>
      </c>
      <c r="OZ21" s="22" t="s">
        <v>768</v>
      </c>
      <c r="PA21" s="22" t="s">
        <v>768</v>
      </c>
      <c r="PB21" s="22" t="s">
        <v>768</v>
      </c>
      <c r="PC21" s="22" t="s">
        <v>867</v>
      </c>
      <c r="PD21" s="22" t="s">
        <v>768</v>
      </c>
      <c r="PE21" s="22" t="s">
        <v>768</v>
      </c>
      <c r="PF21" s="22" t="s">
        <v>768</v>
      </c>
      <c r="PG21" s="22" t="s">
        <v>768</v>
      </c>
      <c r="PH21" s="22" t="s">
        <v>768</v>
      </c>
      <c r="PI21" s="22" t="s">
        <v>878</v>
      </c>
      <c r="PJ21" s="22" t="s">
        <v>768</v>
      </c>
      <c r="PK21" s="22" t="s">
        <v>768</v>
      </c>
      <c r="PR21" s="22">
        <v>2</v>
      </c>
      <c r="PS21" s="22">
        <v>2</v>
      </c>
      <c r="PT21" s="22">
        <v>2</v>
      </c>
      <c r="PW21" s="22" t="s">
        <v>768</v>
      </c>
      <c r="PX21" s="22" t="s">
        <v>768</v>
      </c>
      <c r="PY21" s="22" t="s">
        <v>768</v>
      </c>
      <c r="PZ21" s="22" t="s">
        <v>768</v>
      </c>
      <c r="QA21" s="22" t="s">
        <v>768</v>
      </c>
      <c r="QB21" s="22" t="s">
        <v>768</v>
      </c>
      <c r="QC21" s="22" t="s">
        <v>879</v>
      </c>
      <c r="QD21" s="22" t="s">
        <v>768</v>
      </c>
      <c r="QE21" s="22" t="s">
        <v>880</v>
      </c>
      <c r="QF21" s="22" t="s">
        <v>768</v>
      </c>
      <c r="QG21" s="22" t="s">
        <v>768</v>
      </c>
      <c r="QH21" s="22" t="s">
        <v>768</v>
      </c>
      <c r="QI21" s="22" t="s">
        <v>768</v>
      </c>
      <c r="QJ21" s="22" t="s">
        <v>768</v>
      </c>
      <c r="QK21" s="22">
        <v>2</v>
      </c>
      <c r="QL21" s="22">
        <v>2</v>
      </c>
      <c r="QS21" s="22">
        <v>2</v>
      </c>
      <c r="QX21" s="22" t="s">
        <v>768</v>
      </c>
      <c r="QY21" s="22" t="s">
        <v>768</v>
      </c>
      <c r="QZ21" s="22" t="s">
        <v>768</v>
      </c>
      <c r="RA21" s="22" t="s">
        <v>768</v>
      </c>
      <c r="RB21" s="22" t="s">
        <v>768</v>
      </c>
      <c r="RC21" s="22" t="s">
        <v>768</v>
      </c>
      <c r="RD21" s="22" t="s">
        <v>768</v>
      </c>
      <c r="RE21" s="22" t="s">
        <v>768</v>
      </c>
      <c r="RF21" s="22" t="s">
        <v>853</v>
      </c>
      <c r="RG21" s="22" t="s">
        <v>768</v>
      </c>
      <c r="RH21" s="22" t="s">
        <v>768</v>
      </c>
      <c r="RI21" s="22" t="s">
        <v>768</v>
      </c>
      <c r="RJ21" s="22" t="s">
        <v>768</v>
      </c>
      <c r="RK21" s="22" t="s">
        <v>768</v>
      </c>
      <c r="RL21" s="22" t="s">
        <v>768</v>
      </c>
      <c r="RM21" s="22" t="s">
        <v>768</v>
      </c>
      <c r="RO21" s="22">
        <v>1</v>
      </c>
      <c r="SD21" s="22" t="s">
        <v>768</v>
      </c>
      <c r="SE21" s="22" t="s">
        <v>853</v>
      </c>
      <c r="SF21" s="22" t="s">
        <v>768</v>
      </c>
      <c r="SG21" s="22" t="s">
        <v>768</v>
      </c>
      <c r="SH21" s="22" t="s">
        <v>768</v>
      </c>
      <c r="SI21" s="22" t="s">
        <v>768</v>
      </c>
      <c r="SJ21" s="22" t="s">
        <v>768</v>
      </c>
      <c r="SK21" s="22" t="s">
        <v>768</v>
      </c>
      <c r="SL21" s="22" t="s">
        <v>768</v>
      </c>
      <c r="SM21" s="22" t="s">
        <v>768</v>
      </c>
      <c r="SN21" s="22" t="s">
        <v>768</v>
      </c>
      <c r="SO21" s="22" t="s">
        <v>768</v>
      </c>
      <c r="SP21" s="22" t="s">
        <v>768</v>
      </c>
      <c r="SQ21" s="22" t="s">
        <v>768</v>
      </c>
      <c r="SR21" s="22" t="s">
        <v>768</v>
      </c>
      <c r="SS21" s="22" t="s">
        <v>768</v>
      </c>
      <c r="ST21" s="22" t="s">
        <v>768</v>
      </c>
      <c r="SU21" s="22" t="s">
        <v>881</v>
      </c>
      <c r="SV21" s="22" t="s">
        <v>768</v>
      </c>
      <c r="TC21" s="22">
        <v>2</v>
      </c>
      <c r="TE21" s="22" t="s">
        <v>768</v>
      </c>
      <c r="TF21" s="22" t="s">
        <v>768</v>
      </c>
      <c r="TG21" s="22" t="s">
        <v>768</v>
      </c>
      <c r="TH21" s="22" t="s">
        <v>768</v>
      </c>
      <c r="TI21" s="22" t="s">
        <v>768</v>
      </c>
      <c r="TJ21" s="22" t="s">
        <v>768</v>
      </c>
      <c r="TK21" s="22" t="s">
        <v>853</v>
      </c>
      <c r="TL21" s="22" t="s">
        <v>768</v>
      </c>
      <c r="TM21" s="22" t="s">
        <v>882</v>
      </c>
      <c r="TN21" s="22" t="s">
        <v>768</v>
      </c>
      <c r="TO21" s="22" t="s">
        <v>768</v>
      </c>
      <c r="TP21" s="22">
        <v>1</v>
      </c>
      <c r="TQ21" s="22">
        <v>1</v>
      </c>
      <c r="TW21" s="22" t="s">
        <v>883</v>
      </c>
      <c r="TX21" s="22" t="s">
        <v>883</v>
      </c>
      <c r="TY21" s="22" t="s">
        <v>768</v>
      </c>
      <c r="TZ21" s="22" t="s">
        <v>768</v>
      </c>
      <c r="UA21" s="22" t="s">
        <v>884</v>
      </c>
      <c r="UB21" s="22" t="s">
        <v>768</v>
      </c>
      <c r="UC21" s="22" t="s">
        <v>768</v>
      </c>
      <c r="UD21" s="22" t="s">
        <v>768</v>
      </c>
      <c r="UE21" s="22" t="s">
        <v>867</v>
      </c>
      <c r="UF21" s="22" t="s">
        <v>768</v>
      </c>
      <c r="UH21" s="22">
        <v>1</v>
      </c>
      <c r="UI21" s="22">
        <v>1</v>
      </c>
      <c r="UJ21" s="22">
        <v>1</v>
      </c>
      <c r="UL21" s="22">
        <v>1</v>
      </c>
      <c r="UN21" s="22" t="s">
        <v>768</v>
      </c>
      <c r="UO21" s="22" t="s">
        <v>885</v>
      </c>
      <c r="UP21" s="22" t="s">
        <v>768</v>
      </c>
      <c r="UQ21" s="22" t="s">
        <v>768</v>
      </c>
      <c r="UR21" s="22" t="s">
        <v>768</v>
      </c>
      <c r="US21" s="22" t="s">
        <v>867</v>
      </c>
      <c r="UT21" s="22" t="s">
        <v>768</v>
      </c>
      <c r="UU21" s="22" t="s">
        <v>768</v>
      </c>
      <c r="UV21" s="22" t="s">
        <v>768</v>
      </c>
      <c r="UW21" s="22" t="s">
        <v>768</v>
      </c>
      <c r="VB21" s="22">
        <v>1</v>
      </c>
      <c r="VC21" s="22">
        <v>1</v>
      </c>
      <c r="VJ21" s="22" t="s">
        <v>768</v>
      </c>
      <c r="VK21" s="22" t="s">
        <v>768</v>
      </c>
      <c r="VL21" s="22" t="s">
        <v>768</v>
      </c>
      <c r="VM21" s="22" t="s">
        <v>768</v>
      </c>
      <c r="VN21" s="22" t="s">
        <v>886</v>
      </c>
      <c r="VO21" s="22" t="s">
        <v>887</v>
      </c>
      <c r="VP21" s="22" t="s">
        <v>768</v>
      </c>
      <c r="VQ21" s="22" t="s">
        <v>768</v>
      </c>
      <c r="VR21" s="22" t="s">
        <v>768</v>
      </c>
      <c r="VS21" s="22" t="s">
        <v>768</v>
      </c>
      <c r="VT21" s="22" t="s">
        <v>768</v>
      </c>
      <c r="VU21" s="22" t="s">
        <v>768</v>
      </c>
      <c r="VV21" s="22" t="s">
        <v>888</v>
      </c>
      <c r="VW21" s="22" t="s">
        <v>768</v>
      </c>
      <c r="VX21" s="22" t="s">
        <v>768</v>
      </c>
      <c r="WB21" s="22">
        <v>1</v>
      </c>
      <c r="WC21" s="22">
        <v>1</v>
      </c>
      <c r="WF21" s="22" t="s">
        <v>768</v>
      </c>
      <c r="WG21" s="22" t="s">
        <v>768</v>
      </c>
      <c r="WH21" s="22" t="s">
        <v>768</v>
      </c>
      <c r="WI21" s="22" t="s">
        <v>889</v>
      </c>
      <c r="WJ21" s="22" t="s">
        <v>888</v>
      </c>
      <c r="WK21" s="22" t="s">
        <v>768</v>
      </c>
      <c r="WL21" s="22" t="s">
        <v>768</v>
      </c>
      <c r="WM21" s="22" t="s">
        <v>886</v>
      </c>
      <c r="WN21" s="22" t="s">
        <v>768</v>
      </c>
      <c r="WO21" s="22" t="s">
        <v>768</v>
      </c>
      <c r="WR21" s="22">
        <v>1</v>
      </c>
      <c r="WU21" s="22">
        <v>1</v>
      </c>
      <c r="WW21" s="22">
        <v>1</v>
      </c>
      <c r="WZ21" s="22" t="s">
        <v>768</v>
      </c>
      <c r="XA21" s="22" t="s">
        <v>768</v>
      </c>
      <c r="XB21" s="22" t="s">
        <v>890</v>
      </c>
      <c r="XC21" s="22" t="s">
        <v>768</v>
      </c>
      <c r="XD21" s="22" t="s">
        <v>768</v>
      </c>
      <c r="XE21" s="22" t="s">
        <v>768</v>
      </c>
      <c r="XF21" s="22" t="s">
        <v>768</v>
      </c>
      <c r="XG21" s="22" t="s">
        <v>887</v>
      </c>
      <c r="XH21" s="22" t="s">
        <v>768</v>
      </c>
      <c r="XI21" s="22" t="s">
        <v>768</v>
      </c>
      <c r="XJ21" s="22" t="s">
        <v>891</v>
      </c>
      <c r="XK21" s="22" t="s">
        <v>768</v>
      </c>
      <c r="XL21" s="22" t="s">
        <v>768</v>
      </c>
      <c r="XM21" s="22">
        <v>1</v>
      </c>
      <c r="XN21" s="22">
        <v>1</v>
      </c>
      <c r="XO21" s="22">
        <v>1</v>
      </c>
      <c r="XP21" s="22">
        <v>1</v>
      </c>
      <c r="XR21" s="22">
        <v>1</v>
      </c>
      <c r="XU21" s="22" t="s">
        <v>768</v>
      </c>
      <c r="XV21" s="22" t="s">
        <v>768</v>
      </c>
      <c r="XW21" s="22" t="s">
        <v>891</v>
      </c>
      <c r="XX21" s="22" t="s">
        <v>892</v>
      </c>
      <c r="XY21" s="22" t="s">
        <v>768</v>
      </c>
      <c r="XZ21" s="22" t="s">
        <v>891</v>
      </c>
      <c r="YA21" s="22" t="s">
        <v>768</v>
      </c>
      <c r="YB21" s="22" t="s">
        <v>768</v>
      </c>
      <c r="YC21" s="22" t="s">
        <v>768</v>
      </c>
      <c r="YD21" s="22" t="s">
        <v>768</v>
      </c>
      <c r="YE21" s="22" t="s">
        <v>768</v>
      </c>
      <c r="YJ21" s="22">
        <v>3</v>
      </c>
      <c r="YK21" s="22">
        <v>3</v>
      </c>
      <c r="YS21" s="22" t="s">
        <v>768</v>
      </c>
      <c r="YT21" s="22" t="s">
        <v>768</v>
      </c>
      <c r="YU21" s="22" t="s">
        <v>768</v>
      </c>
      <c r="YV21" s="22" t="s">
        <v>768</v>
      </c>
      <c r="YW21" s="22" t="s">
        <v>891</v>
      </c>
      <c r="YX21" s="22" t="s">
        <v>891</v>
      </c>
      <c r="YY21" s="22" t="s">
        <v>768</v>
      </c>
      <c r="YZ21" s="22" t="s">
        <v>768</v>
      </c>
      <c r="ZA21" s="22" t="s">
        <v>768</v>
      </c>
      <c r="ZB21" s="22" t="s">
        <v>768</v>
      </c>
      <c r="ZC21" s="22" t="s">
        <v>768</v>
      </c>
      <c r="ZD21" s="22" t="s">
        <v>768</v>
      </c>
      <c r="ZE21" s="22" t="s">
        <v>768</v>
      </c>
      <c r="ZF21" s="22" t="s">
        <v>768</v>
      </c>
      <c r="ZG21" s="22" t="s">
        <v>768</v>
      </c>
      <c r="ZH21" s="22" t="s">
        <v>768</v>
      </c>
      <c r="ZJ21" s="22">
        <v>3</v>
      </c>
      <c r="ZL21" s="22">
        <v>3</v>
      </c>
      <c r="ZS21" s="22" t="s">
        <v>768</v>
      </c>
      <c r="ZT21" s="22" t="s">
        <v>891</v>
      </c>
      <c r="ZU21" s="22" t="s">
        <v>768</v>
      </c>
      <c r="ZV21" s="22" t="s">
        <v>891</v>
      </c>
      <c r="ZW21" s="22" t="s">
        <v>768</v>
      </c>
      <c r="ZX21" s="22" t="s">
        <v>768</v>
      </c>
      <c r="ZY21" s="22" t="s">
        <v>768</v>
      </c>
      <c r="ZZ21" s="22" t="s">
        <v>768</v>
      </c>
      <c r="AAA21" s="22" t="s">
        <v>768</v>
      </c>
      <c r="AAB21" s="22" t="s">
        <v>768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 Me </vt:lpstr>
      <vt:lpstr>Setup</vt:lpstr>
      <vt:lpstr>Comments</vt:lpstr>
      <vt:lpstr>Comments_Data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Valdez, Ronald Kyle (Taguig City 1634)</dc:creator>
  <cp:lastModifiedBy>Valdez, Ronald Kyle (Taguig City 1634)</cp:lastModifiedBy>
  <dcterms:created xsi:type="dcterms:W3CDTF">2021-08-24T13:21:52Z</dcterms:created>
  <dcterms:modified xsi:type="dcterms:W3CDTF">2021-09-30T16:59:56Z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2021-08-24T13:21:53Z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ed882cf7-047a-4f07-a853-8af8ada338ef</vt:lpwstr>
  </property>
  <property fmtid="{D5CDD505-2E9C-101B-9397-08002B2CF9AE}" pid="8" name="MSIP_Label_d347b247-e90e-43a3-9d7b-004f14ae6873_ContentBits">
    <vt:lpwstr>0</vt:lpwstr>
  </property>
</Properties>
</file>