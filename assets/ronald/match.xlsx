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NAL8206\Desktop\"/>
    </mc:Choice>
  </mc:AlternateContent>
  <xr:revisionPtr revIDLastSave="0" documentId="13_ncr:1_{077636D9-7DD4-4F52-8A13-1E69179B98CD}" xr6:coauthVersionLast="46" xr6:coauthVersionMax="46" xr10:uidLastSave="{00000000-0000-0000-0000-000000000000}"/>
  <bookViews>
    <workbookView xWindow="57480" yWindow="-120" windowWidth="29040" windowHeight="15840" activeTab="1" xr2:uid="{BE9A3251-EF38-4C12-82D9-F526F88C875B}"/>
  </bookViews>
  <sheets>
    <sheet name="Sheet1" sheetId="1" r:id="rId1"/>
    <sheet name="Sheet2" sheetId="2" r:id="rId2"/>
  </sheets>
  <definedNames>
    <definedName name="_xlnm._FilterDatabase" localSheetId="0" hidden="1">Sheet1!$A$2:$L$599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8" i="2" l="1" a="1"/>
  <c r="I358" i="2" s="1"/>
  <c r="I357" i="2" a="1"/>
  <c r="I357" i="2" s="1"/>
  <c r="I356" i="2" a="1"/>
  <c r="I356" i="2" s="1"/>
  <c r="I355" i="2" a="1"/>
  <c r="I355" i="2" s="1"/>
  <c r="I354" i="2" a="1"/>
  <c r="I354" i="2" s="1"/>
  <c r="I353" i="2" a="1"/>
  <c r="I353" i="2" s="1"/>
  <c r="I352" i="2" a="1"/>
  <c r="I352" i="2" s="1"/>
  <c r="I351" i="2" a="1"/>
  <c r="I351" i="2" s="1"/>
  <c r="I350" i="2" a="1"/>
  <c r="I350" i="2" s="1"/>
  <c r="I349" i="2" a="1"/>
  <c r="I349" i="2" s="1"/>
  <c r="I348" i="2" a="1"/>
  <c r="I348" i="2" s="1"/>
  <c r="I347" i="2" a="1"/>
  <c r="I347" i="2" s="1"/>
  <c r="I346" i="2" a="1"/>
  <c r="I346" i="2" s="1"/>
  <c r="I345" i="2" a="1"/>
  <c r="I345" i="2" s="1"/>
  <c r="I344" i="2" a="1"/>
  <c r="I344" i="2" s="1"/>
  <c r="I343" i="2" a="1"/>
  <c r="I343" i="2" s="1"/>
  <c r="I342" i="2" a="1"/>
  <c r="I342" i="2" s="1"/>
  <c r="I341" i="2" a="1"/>
  <c r="I341" i="2" s="1"/>
  <c r="I340" i="2" a="1"/>
  <c r="I340" i="2" s="1"/>
  <c r="I339" i="2" a="1"/>
  <c r="I339" i="2" s="1"/>
  <c r="I338" i="2" a="1"/>
  <c r="I338" i="2" s="1"/>
  <c r="I337" i="2" a="1"/>
  <c r="I337" i="2" s="1"/>
  <c r="I336" i="2" a="1"/>
  <c r="I336" i="2" s="1"/>
  <c r="I335" i="2" a="1"/>
  <c r="I335" i="2" s="1"/>
  <c r="I334" i="2" a="1"/>
  <c r="I334" i="2" s="1"/>
  <c r="I333" i="2" a="1"/>
  <c r="I333" i="2" s="1"/>
  <c r="I332" i="2" a="1"/>
  <c r="I332" i="2" s="1"/>
  <c r="I331" i="2" a="1"/>
  <c r="I331" i="2" s="1"/>
  <c r="I330" i="2" a="1"/>
  <c r="I330" i="2" s="1"/>
  <c r="I329" i="2" a="1"/>
  <c r="I329" i="2" s="1"/>
  <c r="I328" i="2" a="1"/>
  <c r="I328" i="2" s="1"/>
  <c r="I327" i="2" a="1"/>
  <c r="I327" i="2" s="1"/>
  <c r="I326" i="2" a="1"/>
  <c r="I326" i="2" s="1"/>
  <c r="I325" i="2" a="1"/>
  <c r="I325" i="2" s="1"/>
  <c r="I324" i="2" a="1"/>
  <c r="I324" i="2" s="1"/>
  <c r="I323" i="2" a="1"/>
  <c r="I323" i="2" s="1"/>
  <c r="I322" i="2" a="1"/>
  <c r="I322" i="2" s="1"/>
  <c r="I321" i="2" a="1"/>
  <c r="I321" i="2" s="1"/>
  <c r="I320" i="2" a="1"/>
  <c r="I320" i="2" s="1"/>
  <c r="I319" i="2" a="1"/>
  <c r="I319" i="2" s="1"/>
  <c r="I318" i="2" a="1"/>
  <c r="I318" i="2" s="1"/>
  <c r="I317" i="2" a="1"/>
  <c r="I317" i="2" s="1"/>
  <c r="I316" i="2" a="1"/>
  <c r="I316" i="2" s="1"/>
  <c r="I315" i="2" a="1"/>
  <c r="I315" i="2" s="1"/>
  <c r="I314" i="2" a="1"/>
  <c r="I314" i="2" s="1"/>
  <c r="I313" i="2" a="1"/>
  <c r="I313" i="2" s="1"/>
  <c r="I312" i="2" a="1"/>
  <c r="I312" i="2" s="1"/>
  <c r="I311" i="2" a="1"/>
  <c r="I311" i="2" s="1"/>
  <c r="I310" i="2" a="1"/>
  <c r="I310" i="2" s="1"/>
  <c r="I309" i="2" a="1"/>
  <c r="I309" i="2" s="1"/>
  <c r="I308" i="2" a="1"/>
  <c r="I308" i="2" s="1"/>
  <c r="I307" i="2" a="1"/>
  <c r="I307" i="2" s="1"/>
  <c r="I306" i="2" a="1"/>
  <c r="I306" i="2" s="1"/>
  <c r="I305" i="2" a="1"/>
  <c r="I305" i="2" s="1"/>
  <c r="I304" i="2" a="1"/>
  <c r="I304" i="2" s="1"/>
  <c r="I303" i="2" a="1"/>
  <c r="I303" i="2" s="1"/>
  <c r="I302" i="2" a="1"/>
  <c r="I302" i="2" s="1"/>
  <c r="I301" i="2" a="1"/>
  <c r="I301" i="2" s="1"/>
  <c r="I300" i="2" a="1"/>
  <c r="I300" i="2" s="1"/>
  <c r="I299" i="2" a="1"/>
  <c r="I299" i="2" s="1"/>
  <c r="I298" i="2" a="1"/>
  <c r="I298" i="2" s="1"/>
  <c r="I297" i="2" a="1"/>
  <c r="I297" i="2" s="1"/>
  <c r="I296" i="2" a="1"/>
  <c r="I296" i="2" s="1"/>
  <c r="I295" i="2" a="1"/>
  <c r="I295" i="2" s="1"/>
  <c r="I294" i="2" a="1"/>
  <c r="I294" i="2" s="1"/>
  <c r="I293" i="2" a="1"/>
  <c r="I293" i="2" s="1"/>
  <c r="I292" i="2" a="1"/>
  <c r="I292" i="2" s="1"/>
  <c r="I291" i="2" a="1"/>
  <c r="I291" i="2" s="1"/>
  <c r="I290" i="2" a="1"/>
  <c r="I290" i="2" s="1"/>
  <c r="I289" i="2" a="1"/>
  <c r="I289" i="2" s="1"/>
  <c r="I288" i="2" a="1"/>
  <c r="I288" i="2" s="1"/>
  <c r="I287" i="2" a="1"/>
  <c r="I287" i="2" s="1"/>
  <c r="I286" i="2" a="1"/>
  <c r="I286" i="2" s="1"/>
  <c r="I285" i="2" a="1"/>
  <c r="I285" i="2" s="1"/>
  <c r="I284" i="2" a="1"/>
  <c r="I284" i="2" s="1"/>
  <c r="I283" i="2" a="1"/>
  <c r="I283" i="2" s="1"/>
  <c r="I282" i="2" a="1"/>
  <c r="I282" i="2" s="1"/>
  <c r="I281" i="2" a="1"/>
  <c r="I281" i="2" s="1"/>
  <c r="I280" i="2" a="1"/>
  <c r="I280" i="2" s="1"/>
  <c r="I279" i="2" a="1"/>
  <c r="I279" i="2" s="1"/>
  <c r="I278" i="2" a="1"/>
  <c r="I278" i="2" s="1"/>
  <c r="I277" i="2" a="1"/>
  <c r="I277" i="2" s="1"/>
  <c r="I276" i="2" a="1"/>
  <c r="I276" i="2" s="1"/>
  <c r="I275" i="2" a="1"/>
  <c r="I275" i="2" s="1"/>
  <c r="I274" i="2" a="1"/>
  <c r="I274" i="2" s="1"/>
  <c r="I273" i="2" a="1"/>
  <c r="I273" i="2" s="1"/>
  <c r="I272" i="2" a="1"/>
  <c r="I272" i="2" s="1"/>
  <c r="I271" i="2" a="1"/>
  <c r="I271" i="2" s="1"/>
  <c r="I270" i="2" a="1"/>
  <c r="I270" i="2" s="1"/>
  <c r="I269" i="2" a="1"/>
  <c r="I269" i="2" s="1"/>
  <c r="I268" i="2" a="1"/>
  <c r="I268" i="2" s="1"/>
  <c r="I267" i="2" a="1"/>
  <c r="I267" i="2" s="1"/>
  <c r="I266" i="2" a="1"/>
  <c r="I266" i="2" s="1"/>
  <c r="I265" i="2" a="1"/>
  <c r="I265" i="2" s="1"/>
  <c r="I264" i="2" a="1"/>
  <c r="I264" i="2" s="1"/>
  <c r="I263" i="2" a="1"/>
  <c r="I263" i="2" s="1"/>
  <c r="I262" i="2" a="1"/>
  <c r="I262" i="2" s="1"/>
  <c r="I261" i="2" a="1"/>
  <c r="I261" i="2" s="1"/>
  <c r="I260" i="2" a="1"/>
  <c r="I260" i="2" s="1"/>
  <c r="I259" i="2" a="1"/>
  <c r="I259" i="2" s="1"/>
  <c r="I258" i="2" a="1"/>
  <c r="I258" i="2" s="1"/>
  <c r="I257" i="2" a="1"/>
  <c r="I257" i="2" s="1"/>
  <c r="I256" i="2" a="1"/>
  <c r="I256" i="2" s="1"/>
  <c r="I255" i="2" a="1"/>
  <c r="I255" i="2" s="1"/>
  <c r="I254" i="2" a="1"/>
  <c r="I254" i="2" s="1"/>
  <c r="I253" i="2" a="1"/>
  <c r="I253" i="2" s="1"/>
  <c r="I252" i="2" a="1"/>
  <c r="I252" i="2" s="1"/>
  <c r="I251" i="2" a="1"/>
  <c r="I251" i="2" s="1"/>
  <c r="I250" i="2" a="1"/>
  <c r="I250" i="2" s="1"/>
  <c r="I249" i="2" a="1"/>
  <c r="I249" i="2" s="1"/>
  <c r="I248" i="2" a="1"/>
  <c r="I248" i="2" s="1"/>
  <c r="I247" i="2" a="1"/>
  <c r="I247" i="2" s="1"/>
  <c r="I246" i="2" a="1"/>
  <c r="I246" i="2" s="1"/>
  <c r="I245" i="2" a="1"/>
  <c r="I245" i="2" s="1"/>
  <c r="I244" i="2" a="1"/>
  <c r="I244" i="2" s="1"/>
  <c r="I243" i="2" a="1"/>
  <c r="I243" i="2" s="1"/>
  <c r="I242" i="2" a="1"/>
  <c r="I242" i="2" s="1"/>
  <c r="I241" i="2" a="1"/>
  <c r="I241" i="2" s="1"/>
  <c r="I240" i="2" a="1"/>
  <c r="I240" i="2" s="1"/>
  <c r="I239" i="2" a="1"/>
  <c r="I239" i="2" s="1"/>
  <c r="I238" i="2" a="1"/>
  <c r="I238" i="2" s="1"/>
  <c r="I237" i="2" a="1"/>
  <c r="I237" i="2" s="1"/>
  <c r="I236" i="2" a="1"/>
  <c r="I236" i="2" s="1"/>
  <c r="I235" i="2" a="1"/>
  <c r="I235" i="2" s="1"/>
  <c r="I234" i="2" a="1"/>
  <c r="I234" i="2" s="1"/>
  <c r="I233" i="2" a="1"/>
  <c r="I233" i="2" s="1"/>
  <c r="I232" i="2" a="1"/>
  <c r="I232" i="2" s="1"/>
  <c r="I231" i="2" a="1"/>
  <c r="I231" i="2" s="1"/>
  <c r="I230" i="2" a="1"/>
  <c r="I230" i="2" s="1"/>
  <c r="I229" i="2" a="1"/>
  <c r="I229" i="2" s="1"/>
  <c r="I228" i="2" a="1"/>
  <c r="I228" i="2" s="1"/>
  <c r="I227" i="2" a="1"/>
  <c r="I227" i="2" s="1"/>
  <c r="I226" i="2" a="1"/>
  <c r="I226" i="2" s="1"/>
  <c r="I225" i="2" a="1"/>
  <c r="I225" i="2" s="1"/>
  <c r="I224" i="2" a="1"/>
  <c r="I224" i="2" s="1"/>
  <c r="I223" i="2" a="1"/>
  <c r="I223" i="2" s="1"/>
  <c r="I222" i="2" a="1"/>
  <c r="I222" i="2" s="1"/>
  <c r="I221" i="2" a="1"/>
  <c r="I221" i="2" s="1"/>
  <c r="I220" i="2" a="1"/>
  <c r="I220" i="2" s="1"/>
  <c r="I219" i="2" a="1"/>
  <c r="I219" i="2" s="1"/>
  <c r="I218" i="2" a="1"/>
  <c r="I218" i="2" s="1"/>
  <c r="I217" i="2" a="1"/>
  <c r="I217" i="2" s="1"/>
  <c r="I216" i="2" a="1"/>
  <c r="I216" i="2" s="1"/>
  <c r="I215" i="2" a="1"/>
  <c r="I215" i="2" s="1"/>
  <c r="I214" i="2" a="1"/>
  <c r="I214" i="2" s="1"/>
  <c r="I213" i="2" a="1"/>
  <c r="I213" i="2" s="1"/>
  <c r="I212" i="2" a="1"/>
  <c r="I212" i="2" s="1"/>
  <c r="I211" i="2" a="1"/>
  <c r="I211" i="2" s="1"/>
  <c r="I210" i="2" a="1"/>
  <c r="I210" i="2" s="1"/>
  <c r="I209" i="2" a="1"/>
  <c r="I209" i="2" s="1"/>
  <c r="I208" i="2" a="1"/>
  <c r="I208" i="2" s="1"/>
  <c r="I207" i="2" a="1"/>
  <c r="I207" i="2" s="1"/>
  <c r="I206" i="2" a="1"/>
  <c r="I206" i="2" s="1"/>
  <c r="I205" i="2" a="1"/>
  <c r="I205" i="2" s="1"/>
  <c r="I204" i="2" a="1"/>
  <c r="I204" i="2" s="1"/>
  <c r="I203" i="2" a="1"/>
  <c r="I203" i="2" s="1"/>
  <c r="I202" i="2" a="1"/>
  <c r="I202" i="2" s="1"/>
  <c r="I201" i="2" a="1"/>
  <c r="I201" i="2" s="1"/>
  <c r="I200" i="2" a="1"/>
  <c r="I200" i="2" s="1"/>
  <c r="I199" i="2" a="1"/>
  <c r="I199" i="2" s="1"/>
  <c r="I198" i="2" a="1"/>
  <c r="I198" i="2" s="1"/>
  <c r="I197" i="2" a="1"/>
  <c r="I197" i="2" s="1"/>
  <c r="I196" i="2" a="1"/>
  <c r="I196" i="2" s="1"/>
  <c r="I195" i="2" a="1"/>
  <c r="I195" i="2" s="1"/>
  <c r="I194" i="2" a="1"/>
  <c r="I194" i="2" s="1"/>
  <c r="I193" i="2" a="1"/>
  <c r="I193" i="2" s="1"/>
  <c r="I192" i="2" a="1"/>
  <c r="I192" i="2" s="1"/>
  <c r="I191" i="2" a="1"/>
  <c r="I191" i="2" s="1"/>
  <c r="I190" i="2" a="1"/>
  <c r="I190" i="2" s="1"/>
  <c r="I189" i="2" a="1"/>
  <c r="I189" i="2" s="1"/>
  <c r="I188" i="2" a="1"/>
  <c r="I188" i="2" s="1"/>
  <c r="I187" i="2" a="1"/>
  <c r="I187" i="2" s="1"/>
  <c r="I186" i="2" a="1"/>
  <c r="I186" i="2" s="1"/>
  <c r="I185" i="2" a="1"/>
  <c r="I185" i="2" s="1"/>
  <c r="I184" i="2" a="1"/>
  <c r="I184" i="2" s="1"/>
  <c r="I183" i="2" a="1"/>
  <c r="I183" i="2" s="1"/>
  <c r="I182" i="2" a="1"/>
  <c r="I182" i="2" s="1"/>
  <c r="I181" i="2" a="1"/>
  <c r="I181" i="2" s="1"/>
  <c r="I180" i="2" a="1"/>
  <c r="I180" i="2" s="1"/>
  <c r="I179" i="2" a="1"/>
  <c r="I179" i="2" s="1"/>
  <c r="I178" i="2" a="1"/>
  <c r="I178" i="2" s="1"/>
  <c r="I177" i="2" a="1"/>
  <c r="I177" i="2" s="1"/>
  <c r="I176" i="2" a="1"/>
  <c r="I176" i="2" s="1"/>
  <c r="I175" i="2" a="1"/>
  <c r="I175" i="2" s="1"/>
  <c r="I174" i="2" a="1"/>
  <c r="I174" i="2" s="1"/>
  <c r="I173" i="2" a="1"/>
  <c r="I173" i="2" s="1"/>
  <c r="I172" i="2" a="1"/>
  <c r="I172" i="2" s="1"/>
  <c r="I171" i="2" a="1"/>
  <c r="I171" i="2" s="1"/>
  <c r="I170" i="2" a="1"/>
  <c r="I170" i="2" s="1"/>
  <c r="I169" i="2" a="1"/>
  <c r="I169" i="2" s="1"/>
  <c r="I168" i="2" a="1"/>
  <c r="I168" i="2" s="1"/>
  <c r="I167" i="2" a="1"/>
  <c r="I167" i="2" s="1"/>
  <c r="I166" i="2" a="1"/>
  <c r="I166" i="2" s="1"/>
  <c r="I165" i="2" a="1"/>
  <c r="I165" i="2" s="1"/>
  <c r="I164" i="2" a="1"/>
  <c r="I164" i="2" s="1"/>
  <c r="I163" i="2" a="1"/>
  <c r="I163" i="2" s="1"/>
  <c r="I162" i="2" a="1"/>
  <c r="I162" i="2" s="1"/>
  <c r="I161" i="2" a="1"/>
  <c r="I161" i="2" s="1"/>
  <c r="I160" i="2" a="1"/>
  <c r="I160" i="2" s="1"/>
  <c r="I159" i="2" a="1"/>
  <c r="I159" i="2" s="1"/>
  <c r="I158" i="2" a="1"/>
  <c r="I158" i="2" s="1"/>
  <c r="I157" i="2" a="1"/>
  <c r="I157" i="2" s="1"/>
  <c r="I156" i="2" a="1"/>
  <c r="I156" i="2" s="1"/>
  <c r="I155" i="2" a="1"/>
  <c r="I155" i="2" s="1"/>
  <c r="I154" i="2" a="1"/>
  <c r="I154" i="2" s="1"/>
  <c r="I153" i="2" a="1"/>
  <c r="I153" i="2" s="1"/>
  <c r="I152" i="2" a="1"/>
  <c r="I152" i="2" s="1"/>
  <c r="I151" i="2" a="1"/>
  <c r="I151" i="2" s="1"/>
  <c r="I150" i="2" a="1"/>
  <c r="I150" i="2" s="1"/>
  <c r="I149" i="2" a="1"/>
  <c r="I149" i="2" s="1"/>
  <c r="I148" i="2" a="1"/>
  <c r="I148" i="2" s="1"/>
  <c r="I147" i="2" a="1"/>
  <c r="I147" i="2" s="1"/>
  <c r="I146" i="2" a="1"/>
  <c r="I146" i="2" s="1"/>
  <c r="I145" i="2" a="1"/>
  <c r="I145" i="2" s="1"/>
  <c r="I144" i="2" a="1"/>
  <c r="I144" i="2" s="1"/>
  <c r="I143" i="2" a="1"/>
  <c r="I143" i="2" s="1"/>
  <c r="I142" i="2" a="1"/>
  <c r="I142" i="2" s="1"/>
  <c r="I141" i="2" a="1"/>
  <c r="I141" i="2" s="1"/>
  <c r="I140" i="2" a="1"/>
  <c r="I140" i="2" s="1"/>
  <c r="I139" i="2" a="1"/>
  <c r="I139" i="2" s="1"/>
  <c r="I138" i="2" a="1"/>
  <c r="I138" i="2" s="1"/>
  <c r="I137" i="2" a="1"/>
  <c r="I137" i="2" s="1"/>
  <c r="I136" i="2" a="1"/>
  <c r="I136" i="2" s="1"/>
  <c r="I135" i="2" a="1"/>
  <c r="I135" i="2" s="1"/>
  <c r="I134" i="2" a="1"/>
  <c r="I134" i="2" s="1"/>
  <c r="I133" i="2" a="1"/>
  <c r="I133" i="2" s="1"/>
  <c r="I132" i="2" a="1"/>
  <c r="I132" i="2" s="1"/>
  <c r="I131" i="2" a="1"/>
  <c r="I131" i="2" s="1"/>
  <c r="I130" i="2" a="1"/>
  <c r="I130" i="2" s="1"/>
  <c r="I129" i="2" a="1"/>
  <c r="I129" i="2" s="1"/>
  <c r="I128" i="2" a="1"/>
  <c r="I128" i="2" s="1"/>
  <c r="I127" i="2" a="1"/>
  <c r="I127" i="2" s="1"/>
  <c r="I126" i="2" a="1"/>
  <c r="I126" i="2" s="1"/>
  <c r="I125" i="2" a="1"/>
  <c r="I125" i="2" s="1"/>
  <c r="I124" i="2" a="1"/>
  <c r="I124" i="2" s="1"/>
  <c r="I123" i="2" a="1"/>
  <c r="I123" i="2" s="1"/>
  <c r="I122" i="2" a="1"/>
  <c r="I122" i="2" s="1"/>
  <c r="I121" i="2" a="1"/>
  <c r="I121" i="2" s="1"/>
  <c r="I120" i="2" a="1"/>
  <c r="I120" i="2" s="1"/>
  <c r="I119" i="2" a="1"/>
  <c r="I119" i="2" s="1"/>
  <c r="I118" i="2" a="1"/>
  <c r="I118" i="2" s="1"/>
  <c r="I117" i="2" a="1"/>
  <c r="I117" i="2" s="1"/>
  <c r="I116" i="2" a="1"/>
  <c r="I116" i="2" s="1"/>
  <c r="I115" i="2" a="1"/>
  <c r="I115" i="2" s="1"/>
  <c r="I114" i="2" a="1"/>
  <c r="I114" i="2" s="1"/>
  <c r="I113" i="2" a="1"/>
  <c r="I113" i="2" s="1"/>
  <c r="I112" i="2" a="1"/>
  <c r="I112" i="2" s="1"/>
  <c r="I111" i="2" a="1"/>
  <c r="I111" i="2" s="1"/>
  <c r="I110" i="2" a="1"/>
  <c r="I110" i="2" s="1"/>
  <c r="I109" i="2" a="1"/>
  <c r="I109" i="2" s="1"/>
  <c r="I108" i="2" a="1"/>
  <c r="I108" i="2" s="1"/>
  <c r="I107" i="2" a="1"/>
  <c r="I107" i="2" s="1"/>
  <c r="I106" i="2" a="1"/>
  <c r="I106" i="2" s="1"/>
  <c r="I105" i="2" a="1"/>
  <c r="I105" i="2" s="1"/>
  <c r="I104" i="2" a="1"/>
  <c r="I104" i="2" s="1"/>
  <c r="I103" i="2" a="1"/>
  <c r="I103" i="2" s="1"/>
  <c r="I102" i="2" a="1"/>
  <c r="I102" i="2" s="1"/>
  <c r="I101" i="2" a="1"/>
  <c r="I101" i="2" s="1"/>
  <c r="I100" i="2" a="1"/>
  <c r="I100" i="2" s="1"/>
  <c r="I99" i="2" a="1"/>
  <c r="I99" i="2" s="1"/>
  <c r="I98" i="2" a="1"/>
  <c r="I98" i="2" s="1"/>
  <c r="I97" i="2" a="1"/>
  <c r="I97" i="2" s="1"/>
  <c r="I96" i="2" a="1"/>
  <c r="I96" i="2" s="1"/>
  <c r="I95" i="2" a="1"/>
  <c r="I95" i="2" s="1"/>
  <c r="I94" i="2" a="1"/>
  <c r="I94" i="2" s="1"/>
  <c r="I93" i="2" a="1"/>
  <c r="I93" i="2" s="1"/>
  <c r="I92" i="2" a="1"/>
  <c r="I92" i="2" s="1"/>
  <c r="I91" i="2" a="1"/>
  <c r="I91" i="2" s="1"/>
  <c r="I90" i="2" a="1"/>
  <c r="I90" i="2" s="1"/>
  <c r="I89" i="2" a="1"/>
  <c r="I89" i="2" s="1"/>
  <c r="I88" i="2" a="1"/>
  <c r="I88" i="2" s="1"/>
  <c r="I87" i="2" a="1"/>
  <c r="I87" i="2" s="1"/>
  <c r="I86" i="2" a="1"/>
  <c r="I86" i="2" s="1"/>
  <c r="I85" i="2" a="1"/>
  <c r="I85" i="2" s="1"/>
  <c r="I84" i="2" a="1"/>
  <c r="I84" i="2" s="1"/>
  <c r="I83" i="2" a="1"/>
  <c r="I83" i="2" s="1"/>
  <c r="I82" i="2" a="1"/>
  <c r="I82" i="2" s="1"/>
  <c r="I81" i="2" a="1"/>
  <c r="I81" i="2" s="1"/>
  <c r="I80" i="2" a="1"/>
  <c r="I80" i="2" s="1"/>
  <c r="I79" i="2" a="1"/>
  <c r="I79" i="2" s="1"/>
  <c r="I78" i="2" a="1"/>
  <c r="I78" i="2" s="1"/>
  <c r="I77" i="2" a="1"/>
  <c r="I77" i="2" s="1"/>
  <c r="I76" i="2" a="1"/>
  <c r="I76" i="2" s="1"/>
  <c r="I75" i="2" a="1"/>
  <c r="I75" i="2" s="1"/>
  <c r="I74" i="2" a="1"/>
  <c r="I74" i="2" s="1"/>
  <c r="I73" i="2" a="1"/>
  <c r="I73" i="2" s="1"/>
  <c r="I72" i="2" a="1"/>
  <c r="I72" i="2" s="1"/>
  <c r="I71" i="2" a="1"/>
  <c r="I71" i="2" s="1"/>
  <c r="I70" i="2" a="1"/>
  <c r="I70" i="2" s="1"/>
  <c r="I69" i="2" a="1"/>
  <c r="I69" i="2" s="1"/>
  <c r="I68" i="2" a="1"/>
  <c r="I68" i="2" s="1"/>
  <c r="I67" i="2" a="1"/>
  <c r="I67" i="2" s="1"/>
  <c r="I66" i="2" a="1"/>
  <c r="I66" i="2" s="1"/>
  <c r="I65" i="2" a="1"/>
  <c r="I65" i="2" s="1"/>
  <c r="I64" i="2" a="1"/>
  <c r="I64" i="2" s="1"/>
  <c r="I63" i="2" a="1"/>
  <c r="I63" i="2" s="1"/>
  <c r="I62" i="2" a="1"/>
  <c r="I62" i="2" s="1"/>
  <c r="I61" i="2" a="1"/>
  <c r="I61" i="2" s="1"/>
  <c r="I60" i="2" a="1"/>
  <c r="I60" i="2" s="1"/>
  <c r="I59" i="2" a="1"/>
  <c r="I59" i="2" s="1"/>
  <c r="I58" i="2" a="1"/>
  <c r="I58" i="2" s="1"/>
  <c r="I57" i="2" a="1"/>
  <c r="I57" i="2" s="1"/>
  <c r="I56" i="2" a="1"/>
  <c r="I56" i="2" s="1"/>
  <c r="I55" i="2" a="1"/>
  <c r="I55" i="2" s="1"/>
  <c r="I54" i="2" a="1"/>
  <c r="I54" i="2" s="1"/>
  <c r="I53" i="2" a="1"/>
  <c r="I53" i="2" s="1"/>
  <c r="I52" i="2" a="1"/>
  <c r="I52" i="2" s="1"/>
  <c r="I51" i="2" a="1"/>
  <c r="I51" i="2" s="1"/>
  <c r="I50" i="2" a="1"/>
  <c r="I50" i="2" s="1"/>
  <c r="I49" i="2" a="1"/>
  <c r="I49" i="2" s="1"/>
  <c r="I48" i="2" a="1"/>
  <c r="I48" i="2" s="1"/>
  <c r="I47" i="2" a="1"/>
  <c r="I47" i="2" s="1"/>
  <c r="I46" i="2" a="1"/>
  <c r="I46" i="2" s="1"/>
  <c r="I45" i="2" a="1"/>
  <c r="I45" i="2" s="1"/>
  <c r="I44" i="2" a="1"/>
  <c r="I44" i="2" s="1"/>
  <c r="I43" i="2" a="1"/>
  <c r="I43" i="2" s="1"/>
  <c r="I42" i="2" a="1"/>
  <c r="I42" i="2" s="1"/>
  <c r="I41" i="2" a="1"/>
  <c r="I41" i="2" s="1"/>
  <c r="I40" i="2" a="1"/>
  <c r="I40" i="2" s="1"/>
  <c r="I39" i="2" a="1"/>
  <c r="I39" i="2" s="1"/>
  <c r="I38" i="2" a="1"/>
  <c r="I38" i="2" s="1"/>
  <c r="I37" i="2" a="1"/>
  <c r="I37" i="2" s="1"/>
  <c r="I36" i="2" a="1"/>
  <c r="I36" i="2" s="1"/>
  <c r="I35" i="2" a="1"/>
  <c r="I35" i="2" s="1"/>
  <c r="I34" i="2" a="1"/>
  <c r="I34" i="2" s="1"/>
  <c r="I33" i="2" a="1"/>
  <c r="I33" i="2" s="1"/>
  <c r="I32" i="2" a="1"/>
  <c r="I32" i="2" s="1"/>
  <c r="I31" i="2" a="1"/>
  <c r="I31" i="2" s="1"/>
  <c r="I30" i="2" a="1"/>
  <c r="I30" i="2" s="1"/>
  <c r="I29" i="2" a="1"/>
  <c r="I29" i="2" s="1"/>
  <c r="I28" i="2" a="1"/>
  <c r="I28" i="2" s="1"/>
  <c r="I27" i="2" a="1"/>
  <c r="I27" i="2" s="1"/>
  <c r="I26" i="2" a="1"/>
  <c r="I26" i="2" s="1"/>
  <c r="I25" i="2" a="1"/>
  <c r="I25" i="2" s="1"/>
  <c r="I24" i="2" a="1"/>
  <c r="I24" i="2" s="1"/>
  <c r="I23" i="2" a="1"/>
  <c r="I23" i="2" s="1"/>
  <c r="I22" i="2" a="1"/>
  <c r="I22" i="2" s="1"/>
  <c r="I21" i="2" a="1"/>
  <c r="I21" i="2" s="1"/>
  <c r="I20" i="2" a="1"/>
  <c r="I20" i="2" s="1"/>
  <c r="I19" i="2" a="1"/>
  <c r="I19" i="2" s="1"/>
  <c r="I18" i="2" a="1"/>
  <c r="I18" i="2" s="1"/>
  <c r="I17" i="2" a="1"/>
  <c r="I17" i="2" s="1"/>
  <c r="I16" i="2" a="1"/>
  <c r="I16" i="2" s="1"/>
  <c r="I15" i="2" a="1"/>
  <c r="I15" i="2" s="1"/>
  <c r="I14" i="2" a="1"/>
  <c r="I14" i="2" s="1"/>
  <c r="I13" i="2" a="1"/>
  <c r="I13" i="2" s="1"/>
  <c r="I12" i="2" a="1"/>
  <c r="I12" i="2" s="1"/>
  <c r="I11" i="2" a="1"/>
  <c r="I11" i="2" s="1"/>
  <c r="I10" i="2" a="1"/>
  <c r="I10" i="2" s="1"/>
  <c r="I9" i="2" a="1"/>
  <c r="I9" i="2" s="1"/>
  <c r="I8" i="2" a="1"/>
  <c r="I8" i="2" s="1"/>
  <c r="I7" i="2" a="1"/>
  <c r="I7" i="2" s="1"/>
  <c r="I6" i="2" a="1"/>
  <c r="I6" i="2" s="1"/>
  <c r="I5" i="2" a="1"/>
  <c r="I5" i="2" s="1"/>
  <c r="I4" i="2" a="1"/>
  <c r="I4" i="2" s="1"/>
  <c r="I3" i="2" a="1"/>
  <c r="I3" i="2" s="1"/>
  <c r="I2" i="2" a="1"/>
  <c r="I2" i="2" s="1"/>
  <c r="H2" i="2" a="1"/>
  <c r="H357" i="2" a="1"/>
  <c r="H355" i="2" a="1"/>
  <c r="H352" i="2" a="1"/>
  <c r="H341" i="2" a="1"/>
  <c r="H336" i="2" a="1"/>
  <c r="H325" i="2" a="1"/>
  <c r="H320" i="2" a="1"/>
  <c r="H309" i="2" a="1"/>
  <c r="H304" i="2" a="1"/>
  <c r="H293" i="2" a="1"/>
  <c r="H288" i="2" a="1"/>
  <c r="H277" i="2" a="1"/>
  <c r="H272" i="2" a="1"/>
  <c r="H261" i="2" a="1"/>
  <c r="H256" i="2" a="1"/>
  <c r="H245" i="2" a="1"/>
  <c r="H240" i="2" a="1"/>
  <c r="H229" i="2" a="1"/>
  <c r="H224" i="2" a="1"/>
  <c r="H213" i="2" a="1"/>
  <c r="H208" i="2" a="1"/>
  <c r="H197" i="2" a="1"/>
  <c r="H192" i="2" a="1"/>
  <c r="H181" i="2" a="1"/>
  <c r="H176" i="2" a="1"/>
  <c r="H165" i="2" a="1"/>
  <c r="H160" i="2" a="1"/>
  <c r="H149" i="2" a="1"/>
  <c r="H144" i="2" a="1"/>
  <c r="H133" i="2" a="1"/>
  <c r="H117" i="2" a="1"/>
  <c r="H112" i="2" a="1"/>
  <c r="H96" i="2" a="1"/>
  <c r="H80" i="2" a="1"/>
  <c r="H64" i="2" a="1"/>
  <c r="H48" i="2" a="1"/>
  <c r="H32" i="2" a="1"/>
  <c r="H218" i="2" a="1"/>
  <c r="H159" i="2" a="1"/>
  <c r="H138" i="2" a="1"/>
  <c r="H111" i="2" a="1"/>
  <c r="H90" i="2" a="1"/>
  <c r="H58" i="2" a="1"/>
  <c r="H358" i="2" a="1"/>
  <c r="H351" i="2" a="1"/>
  <c r="H346" i="2" a="1"/>
  <c r="H335" i="2" a="1"/>
  <c r="H330" i="2" a="1"/>
  <c r="H319" i="2" a="1"/>
  <c r="H314" i="2" a="1"/>
  <c r="H303" i="2" a="1"/>
  <c r="H298" i="2" a="1"/>
  <c r="H287" i="2" a="1"/>
  <c r="H282" i="2" a="1"/>
  <c r="H271" i="2" a="1"/>
  <c r="H266" i="2" a="1"/>
  <c r="H255" i="2" a="1"/>
  <c r="H250" i="2" a="1"/>
  <c r="H239" i="2" a="1"/>
  <c r="H234" i="2" a="1"/>
  <c r="H207" i="2" a="1"/>
  <c r="H191" i="2" a="1"/>
  <c r="H175" i="2" a="1"/>
  <c r="H154" i="2" a="1"/>
  <c r="H122" i="2" a="1"/>
  <c r="H95" i="2" a="1"/>
  <c r="H74" i="2" a="1"/>
  <c r="H47" i="2" a="1"/>
  <c r="H345" i="2" a="1"/>
  <c r="H340" i="2" a="1"/>
  <c r="H329" i="2" a="1"/>
  <c r="H324" i="2" a="1"/>
  <c r="H313" i="2" a="1"/>
  <c r="H308" i="2" a="1"/>
  <c r="H297" i="2" a="1"/>
  <c r="H292" i="2" a="1"/>
  <c r="H281" i="2" a="1"/>
  <c r="H276" i="2" a="1"/>
  <c r="H265" i="2" a="1"/>
  <c r="H260" i="2" a="1"/>
  <c r="H249" i="2" a="1"/>
  <c r="H244" i="2" a="1"/>
  <c r="H233" i="2" a="1"/>
  <c r="H228" i="2" a="1"/>
  <c r="H217" i="2" a="1"/>
  <c r="H212" i="2" a="1"/>
  <c r="H201" i="2" a="1"/>
  <c r="H196" i="2" a="1"/>
  <c r="H185" i="2" a="1"/>
  <c r="H180" i="2" a="1"/>
  <c r="H169" i="2" a="1"/>
  <c r="H164" i="2" a="1"/>
  <c r="H153" i="2" a="1"/>
  <c r="H148" i="2" a="1"/>
  <c r="H137" i="2" a="1"/>
  <c r="H132" i="2" a="1"/>
  <c r="H121" i="2" a="1"/>
  <c r="H116" i="2" a="1"/>
  <c r="H105" i="2" a="1"/>
  <c r="H100" i="2" a="1"/>
  <c r="H89" i="2" a="1"/>
  <c r="H84" i="2" a="1"/>
  <c r="H73" i="2" a="1"/>
  <c r="H68" i="2" a="1"/>
  <c r="H57" i="2" a="1"/>
  <c r="H52" i="2" a="1"/>
  <c r="H41" i="2" a="1"/>
  <c r="H36" i="2" a="1"/>
  <c r="H25" i="2" a="1"/>
  <c r="H20" i="2" a="1"/>
  <c r="H51" i="2" a="1"/>
  <c r="H35" i="2" a="1"/>
  <c r="H15" i="2" a="1"/>
  <c r="H7" i="2" a="1"/>
  <c r="H66" i="2" a="1"/>
  <c r="H34" i="2" a="1"/>
  <c r="H14" i="2" a="1"/>
  <c r="H209" i="2" a="1"/>
  <c r="H193" i="2" a="1"/>
  <c r="H172" i="2" a="1"/>
  <c r="H145" i="2" a="1"/>
  <c r="H124" i="2" a="1"/>
  <c r="H356" i="2" a="1"/>
  <c r="H350" i="2" a="1"/>
  <c r="H339" i="2" a="1"/>
  <c r="H334" i="2" a="1"/>
  <c r="H323" i="2" a="1"/>
  <c r="H318" i="2" a="1"/>
  <c r="H307" i="2" a="1"/>
  <c r="H302" i="2" a="1"/>
  <c r="H291" i="2" a="1"/>
  <c r="H286" i="2" a="1"/>
  <c r="H275" i="2" a="1"/>
  <c r="H270" i="2" a="1"/>
  <c r="H259" i="2" a="1"/>
  <c r="H254" i="2" a="1"/>
  <c r="H243" i="2" a="1"/>
  <c r="H238" i="2" a="1"/>
  <c r="H227" i="2" a="1"/>
  <c r="H222" i="2" a="1"/>
  <c r="H211" i="2" a="1"/>
  <c r="H206" i="2" a="1"/>
  <c r="H195" i="2" a="1"/>
  <c r="H190" i="2" a="1"/>
  <c r="H179" i="2" a="1"/>
  <c r="H174" i="2" a="1"/>
  <c r="H163" i="2" a="1"/>
  <c r="H158" i="2" a="1"/>
  <c r="H147" i="2" a="1"/>
  <c r="H142" i="2" a="1"/>
  <c r="H131" i="2" a="1"/>
  <c r="H126" i="2" a="1"/>
  <c r="H115" i="2" a="1"/>
  <c r="H110" i="2" a="1"/>
  <c r="H99" i="2" a="1"/>
  <c r="H94" i="2" a="1"/>
  <c r="H83" i="2" a="1"/>
  <c r="H78" i="2" a="1"/>
  <c r="H67" i="2" a="1"/>
  <c r="H62" i="2" a="1"/>
  <c r="H46" i="2" a="1"/>
  <c r="H30" i="2" a="1"/>
  <c r="H19" i="2" a="1"/>
  <c r="H11" i="2" a="1"/>
  <c r="H3" i="2" a="1"/>
  <c r="H50" i="2" a="1"/>
  <c r="H23" i="2" a="1"/>
  <c r="H10" i="2" a="1"/>
  <c r="H225" i="2" a="1"/>
  <c r="H204" i="2" a="1"/>
  <c r="H177" i="2" a="1"/>
  <c r="H156" i="2" a="1"/>
  <c r="H129" i="2" a="1"/>
  <c r="H349" i="2" a="1"/>
  <c r="H344" i="2" a="1"/>
  <c r="H333" i="2" a="1"/>
  <c r="H328" i="2" a="1"/>
  <c r="H317" i="2" a="1"/>
  <c r="H312" i="2" a="1"/>
  <c r="H301" i="2" a="1"/>
  <c r="H296" i="2" a="1"/>
  <c r="H285" i="2" a="1"/>
  <c r="H280" i="2" a="1"/>
  <c r="H269" i="2" a="1"/>
  <c r="H264" i="2" a="1"/>
  <c r="H253" i="2" a="1"/>
  <c r="H248" i="2" a="1"/>
  <c r="H237" i="2" a="1"/>
  <c r="H232" i="2" a="1"/>
  <c r="H221" i="2" a="1"/>
  <c r="H216" i="2" a="1"/>
  <c r="H205" i="2" a="1"/>
  <c r="H200" i="2" a="1"/>
  <c r="H189" i="2" a="1"/>
  <c r="H184" i="2" a="1"/>
  <c r="H173" i="2" a="1"/>
  <c r="H168" i="2" a="1"/>
  <c r="H157" i="2" a="1"/>
  <c r="H152" i="2" a="1"/>
  <c r="H141" i="2" a="1"/>
  <c r="H136" i="2" a="1"/>
  <c r="H125" i="2" a="1"/>
  <c r="H120" i="2" a="1"/>
  <c r="H109" i="2" a="1"/>
  <c r="H104" i="2" a="1"/>
  <c r="H93" i="2" a="1"/>
  <c r="H88" i="2" a="1"/>
  <c r="H77" i="2" a="1"/>
  <c r="H72" i="2" a="1"/>
  <c r="H61" i="2" a="1"/>
  <c r="H56" i="2" a="1"/>
  <c r="H45" i="2" a="1"/>
  <c r="H40" i="2" a="1"/>
  <c r="H29" i="2" a="1"/>
  <c r="H24" i="2" a="1"/>
  <c r="H226" i="2" a="1"/>
  <c r="H215" i="2" a="1"/>
  <c r="H210" i="2" a="1"/>
  <c r="H199" i="2" a="1"/>
  <c r="H194" i="2" a="1"/>
  <c r="H183" i="2" a="1"/>
  <c r="H178" i="2" a="1"/>
  <c r="H167" i="2" a="1"/>
  <c r="H162" i="2" a="1"/>
  <c r="H151" i="2" a="1"/>
  <c r="H146" i="2" a="1"/>
  <c r="H135" i="2" a="1"/>
  <c r="H130" i="2" a="1"/>
  <c r="H119" i="2" a="1"/>
  <c r="H114" i="2" a="1"/>
  <c r="H103" i="2" a="1"/>
  <c r="H98" i="2" a="1"/>
  <c r="H87" i="2" a="1"/>
  <c r="H82" i="2" a="1"/>
  <c r="H71" i="2" a="1"/>
  <c r="H55" i="2" a="1"/>
  <c r="H39" i="2" a="1"/>
  <c r="H18" i="2" a="1"/>
  <c r="H6" i="2" a="1"/>
  <c r="H220" i="2" a="1"/>
  <c r="H188" i="2" a="1"/>
  <c r="H161" i="2" a="1"/>
  <c r="H140" i="2" a="1"/>
  <c r="H354" i="2" a="1"/>
  <c r="H343" i="2" a="1"/>
  <c r="H338" i="2" a="1"/>
  <c r="H327" i="2" a="1"/>
  <c r="H322" i="2" a="1"/>
  <c r="H311" i="2" a="1"/>
  <c r="H306" i="2" a="1"/>
  <c r="H295" i="2" a="1"/>
  <c r="H290" i="2" a="1"/>
  <c r="H279" i="2" a="1"/>
  <c r="H274" i="2" a="1"/>
  <c r="H263" i="2" a="1"/>
  <c r="H258" i="2" a="1"/>
  <c r="H247" i="2" a="1"/>
  <c r="H242" i="2" a="1"/>
  <c r="H231" i="2" a="1"/>
  <c r="H353" i="2" a="1"/>
  <c r="H348" i="2" a="1"/>
  <c r="H337" i="2" a="1"/>
  <c r="H332" i="2" a="1"/>
  <c r="H321" i="2" a="1"/>
  <c r="H316" i="2" a="1"/>
  <c r="H305" i="2" a="1"/>
  <c r="H300" i="2" a="1"/>
  <c r="H289" i="2" a="1"/>
  <c r="H284" i="2" a="1"/>
  <c r="H273" i="2" a="1"/>
  <c r="H268" i="2" a="1"/>
  <c r="H257" i="2" a="1"/>
  <c r="H252" i="2" a="1"/>
  <c r="H241" i="2" a="1"/>
  <c r="H236" i="2" a="1"/>
  <c r="H347" i="2" a="1"/>
  <c r="H342" i="2" a="1"/>
  <c r="H331" i="2" a="1"/>
  <c r="H326" i="2" a="1"/>
  <c r="H315" i="2" a="1"/>
  <c r="H310" i="2" a="1"/>
  <c r="H299" i="2" a="1"/>
  <c r="H294" i="2" a="1"/>
  <c r="H283" i="2" a="1"/>
  <c r="H278" i="2" a="1"/>
  <c r="H267" i="2" a="1"/>
  <c r="H262" i="2" a="1"/>
  <c r="H251" i="2" a="1"/>
  <c r="H246" i="2" a="1"/>
  <c r="H235" i="2" a="1"/>
  <c r="H230" i="2" a="1"/>
  <c r="H219" i="2" a="1"/>
  <c r="H214" i="2" a="1"/>
  <c r="H203" i="2" a="1"/>
  <c r="H198" i="2" a="1"/>
  <c r="H187" i="2" a="1"/>
  <c r="H182" i="2" a="1"/>
  <c r="H171" i="2" a="1"/>
  <c r="H166" i="2" a="1"/>
  <c r="H155" i="2" a="1"/>
  <c r="H150" i="2" a="1"/>
  <c r="H139" i="2" a="1"/>
  <c r="H134" i="2" a="1"/>
  <c r="H123" i="2" a="1"/>
  <c r="H118" i="2" a="1"/>
  <c r="H107" i="2" a="1"/>
  <c r="H102" i="2" a="1"/>
  <c r="H91" i="2" a="1"/>
  <c r="H86" i="2" a="1"/>
  <c r="H75" i="2" a="1"/>
  <c r="H70" i="2" a="1"/>
  <c r="H59" i="2" a="1"/>
  <c r="H54" i="2" a="1"/>
  <c r="H43" i="2" a="1"/>
  <c r="H38" i="2" a="1"/>
  <c r="H27" i="2" a="1"/>
  <c r="H22" i="2" a="1"/>
  <c r="H17" i="2" a="1"/>
  <c r="H13" i="2" a="1"/>
  <c r="H9" i="2" a="1"/>
  <c r="H5" i="2" a="1"/>
  <c r="H128" i="2" a="1"/>
  <c r="H101" i="2" a="1"/>
  <c r="H85" i="2" a="1"/>
  <c r="H69" i="2" a="1"/>
  <c r="H53" i="2" a="1"/>
  <c r="H37" i="2" a="1"/>
  <c r="H21" i="2" a="1"/>
  <c r="H223" i="2" a="1"/>
  <c r="H202" i="2" a="1"/>
  <c r="H186" i="2" a="1"/>
  <c r="H170" i="2" a="1"/>
  <c r="H143" i="2" a="1"/>
  <c r="H127" i="2" a="1"/>
  <c r="H106" i="2" a="1"/>
  <c r="H79" i="2" a="1"/>
  <c r="H63" i="2" a="1"/>
  <c r="H113" i="2" a="1"/>
  <c r="H16" i="2" a="1"/>
  <c r="H8" i="2" a="1"/>
  <c r="H108" i="2" a="1"/>
  <c r="H65" i="2" a="1"/>
  <c r="H33" i="2" a="1"/>
  <c r="H60" i="2" a="1"/>
  <c r="H31" i="2" a="1"/>
  <c r="H12" i="2" a="1"/>
  <c r="H49" i="2" a="1"/>
  <c r="H44" i="2" a="1"/>
  <c r="H97" i="2" a="1"/>
  <c r="H28" i="2" a="1"/>
  <c r="H92" i="2" a="1"/>
  <c r="H81" i="2" a="1"/>
  <c r="H42" i="2" a="1"/>
  <c r="H4" i="2" a="1"/>
  <c r="H76" i="2" a="1"/>
  <c r="H26" i="2" a="1"/>
  <c r="H2" i="2" l="1"/>
  <c r="H26" i="2"/>
  <c r="H76" i="2"/>
  <c r="H4" i="2"/>
  <c r="H42" i="2"/>
  <c r="H81" i="2"/>
  <c r="H92" i="2"/>
  <c r="H28" i="2"/>
  <c r="H97" i="2"/>
  <c r="H44" i="2"/>
  <c r="H49" i="2"/>
  <c r="H12" i="2"/>
  <c r="H31" i="2"/>
  <c r="H60" i="2"/>
  <c r="H33" i="2"/>
  <c r="H65" i="2"/>
  <c r="H108" i="2"/>
  <c r="H8" i="2"/>
  <c r="H16" i="2"/>
  <c r="H113" i="2"/>
  <c r="H63" i="2"/>
  <c r="H79" i="2"/>
  <c r="H106" i="2"/>
  <c r="H127" i="2"/>
  <c r="H143" i="2"/>
  <c r="H170" i="2"/>
  <c r="H186" i="2"/>
  <c r="H202" i="2"/>
  <c r="H223" i="2"/>
  <c r="H21" i="2"/>
  <c r="H37" i="2"/>
  <c r="H53" i="2"/>
  <c r="H69" i="2"/>
  <c r="H85" i="2"/>
  <c r="H101" i="2"/>
  <c r="H128" i="2"/>
  <c r="H5" i="2"/>
  <c r="H9" i="2"/>
  <c r="H13" i="2"/>
  <c r="H17" i="2"/>
  <c r="H22" i="2"/>
  <c r="H27" i="2"/>
  <c r="H38" i="2"/>
  <c r="H43" i="2"/>
  <c r="H54" i="2"/>
  <c r="H59" i="2"/>
  <c r="H70" i="2"/>
  <c r="H75" i="2"/>
  <c r="H86" i="2"/>
  <c r="H91" i="2"/>
  <c r="H102" i="2"/>
  <c r="H107" i="2"/>
  <c r="H118" i="2"/>
  <c r="H123" i="2"/>
  <c r="H134" i="2"/>
  <c r="H139" i="2"/>
  <c r="H150" i="2"/>
  <c r="H155" i="2"/>
  <c r="H166" i="2"/>
  <c r="H171" i="2"/>
  <c r="H182" i="2"/>
  <c r="H187" i="2"/>
  <c r="H198" i="2"/>
  <c r="H203" i="2"/>
  <c r="H214" i="2"/>
  <c r="H219" i="2"/>
  <c r="H230" i="2"/>
  <c r="H235" i="2"/>
  <c r="H246" i="2"/>
  <c r="H251" i="2"/>
  <c r="H262" i="2"/>
  <c r="H267" i="2"/>
  <c r="H278" i="2"/>
  <c r="H283" i="2"/>
  <c r="H294" i="2"/>
  <c r="H299" i="2"/>
  <c r="H310" i="2"/>
  <c r="H315" i="2"/>
  <c r="H326" i="2"/>
  <c r="H331" i="2"/>
  <c r="H342" i="2"/>
  <c r="H347" i="2"/>
  <c r="H236" i="2"/>
  <c r="H241" i="2"/>
  <c r="H252" i="2"/>
  <c r="H257" i="2"/>
  <c r="H268" i="2"/>
  <c r="H273" i="2"/>
  <c r="H284" i="2"/>
  <c r="H289" i="2"/>
  <c r="H300" i="2"/>
  <c r="H305" i="2"/>
  <c r="H316" i="2"/>
  <c r="H321" i="2"/>
  <c r="H332" i="2"/>
  <c r="H337" i="2"/>
  <c r="H348" i="2"/>
  <c r="H353" i="2"/>
  <c r="H231" i="2"/>
  <c r="H242" i="2"/>
  <c r="H247" i="2"/>
  <c r="H258" i="2"/>
  <c r="H263" i="2"/>
  <c r="H274" i="2"/>
  <c r="H279" i="2"/>
  <c r="H290" i="2"/>
  <c r="H295" i="2"/>
  <c r="H306" i="2"/>
  <c r="H311" i="2"/>
  <c r="H322" i="2"/>
  <c r="H327" i="2"/>
  <c r="H338" i="2"/>
  <c r="H343" i="2"/>
  <c r="H354" i="2"/>
  <c r="H140" i="2"/>
  <c r="H161" i="2"/>
  <c r="H188" i="2"/>
  <c r="H220" i="2"/>
  <c r="H6" i="2"/>
  <c r="H18" i="2"/>
  <c r="H39" i="2"/>
  <c r="H55" i="2"/>
  <c r="H71" i="2"/>
  <c r="H82" i="2"/>
  <c r="H87" i="2"/>
  <c r="H98" i="2"/>
  <c r="H103" i="2"/>
  <c r="H114" i="2"/>
  <c r="H119" i="2"/>
  <c r="H130" i="2"/>
  <c r="H135" i="2"/>
  <c r="H146" i="2"/>
  <c r="H151" i="2"/>
  <c r="H162" i="2"/>
  <c r="H167" i="2"/>
  <c r="H178" i="2"/>
  <c r="H183" i="2"/>
  <c r="H194" i="2"/>
  <c r="H199" i="2"/>
  <c r="H210" i="2"/>
  <c r="H215" i="2"/>
  <c r="H226" i="2"/>
  <c r="H24" i="2"/>
  <c r="H29" i="2"/>
  <c r="H40" i="2"/>
  <c r="H45" i="2"/>
  <c r="H56" i="2"/>
  <c r="H61" i="2"/>
  <c r="H72" i="2"/>
  <c r="H77" i="2"/>
  <c r="H88" i="2"/>
  <c r="H93" i="2"/>
  <c r="H104" i="2"/>
  <c r="H109" i="2"/>
  <c r="H120" i="2"/>
  <c r="H125" i="2"/>
  <c r="H136" i="2"/>
  <c r="H141" i="2"/>
  <c r="H152" i="2"/>
  <c r="H157" i="2"/>
  <c r="H168" i="2"/>
  <c r="H173" i="2"/>
  <c r="H184" i="2"/>
  <c r="H189" i="2"/>
  <c r="H200" i="2"/>
  <c r="H205" i="2"/>
  <c r="H216" i="2"/>
  <c r="H221" i="2"/>
  <c r="H232" i="2"/>
  <c r="H237" i="2"/>
  <c r="H248" i="2"/>
  <c r="H253" i="2"/>
  <c r="H264" i="2"/>
  <c r="H269" i="2"/>
  <c r="H280" i="2"/>
  <c r="H285" i="2"/>
  <c r="H296" i="2"/>
  <c r="H301" i="2"/>
  <c r="H312" i="2"/>
  <c r="H317" i="2"/>
  <c r="H328" i="2"/>
  <c r="H333" i="2"/>
  <c r="H344" i="2"/>
  <c r="H349" i="2"/>
  <c r="H129" i="2"/>
  <c r="H156" i="2"/>
  <c r="H177" i="2"/>
  <c r="H204" i="2"/>
  <c r="H225" i="2"/>
  <c r="H10" i="2"/>
  <c r="H23" i="2"/>
  <c r="H50" i="2"/>
  <c r="H3" i="2"/>
  <c r="H11" i="2"/>
  <c r="H19" i="2"/>
  <c r="H30" i="2"/>
  <c r="H46" i="2"/>
  <c r="H62" i="2"/>
  <c r="H67" i="2"/>
  <c r="H78" i="2"/>
  <c r="H83" i="2"/>
  <c r="H94" i="2"/>
  <c r="H99" i="2"/>
  <c r="H110" i="2"/>
  <c r="H115" i="2"/>
  <c r="H126" i="2"/>
  <c r="H131" i="2"/>
  <c r="H142" i="2"/>
  <c r="H147" i="2"/>
  <c r="H158" i="2"/>
  <c r="H163" i="2"/>
  <c r="H174" i="2"/>
  <c r="H179" i="2"/>
  <c r="H190" i="2"/>
  <c r="H195" i="2"/>
  <c r="H206" i="2"/>
  <c r="H211" i="2"/>
  <c r="H222" i="2"/>
  <c r="H227" i="2"/>
  <c r="H238" i="2"/>
  <c r="H243" i="2"/>
  <c r="H254" i="2"/>
  <c r="H259" i="2"/>
  <c r="H270" i="2"/>
  <c r="H275" i="2"/>
  <c r="H286" i="2"/>
  <c r="H291" i="2"/>
  <c r="H302" i="2"/>
  <c r="H307" i="2"/>
  <c r="H318" i="2"/>
  <c r="H323" i="2"/>
  <c r="H334" i="2"/>
  <c r="H339" i="2"/>
  <c r="H350" i="2"/>
  <c r="H356" i="2"/>
  <c r="H124" i="2"/>
  <c r="H145" i="2"/>
  <c r="H172" i="2"/>
  <c r="H193" i="2"/>
  <c r="H209" i="2"/>
  <c r="H14" i="2"/>
  <c r="H34" i="2"/>
  <c r="H66" i="2"/>
  <c r="H7" i="2"/>
  <c r="H15" i="2"/>
  <c r="H35" i="2"/>
  <c r="H51" i="2"/>
  <c r="H20" i="2"/>
  <c r="H25" i="2"/>
  <c r="H36" i="2"/>
  <c r="H41" i="2"/>
  <c r="H52" i="2"/>
  <c r="H57" i="2"/>
  <c r="H68" i="2"/>
  <c r="H73" i="2"/>
  <c r="H84" i="2"/>
  <c r="H89" i="2"/>
  <c r="H100" i="2"/>
  <c r="H105" i="2"/>
  <c r="H116" i="2"/>
  <c r="H121" i="2"/>
  <c r="H132" i="2"/>
  <c r="H137" i="2"/>
  <c r="H148" i="2"/>
  <c r="H153" i="2"/>
  <c r="H164" i="2"/>
  <c r="H169" i="2"/>
  <c r="H180" i="2"/>
  <c r="H185" i="2"/>
  <c r="H196" i="2"/>
  <c r="H201" i="2"/>
  <c r="H212" i="2"/>
  <c r="H217" i="2"/>
  <c r="H228" i="2"/>
  <c r="H233" i="2"/>
  <c r="H244" i="2"/>
  <c r="H249" i="2"/>
  <c r="H260" i="2"/>
  <c r="H265" i="2"/>
  <c r="H276" i="2"/>
  <c r="H281" i="2"/>
  <c r="H292" i="2"/>
  <c r="H297" i="2"/>
  <c r="H308" i="2"/>
  <c r="H313" i="2"/>
  <c r="H324" i="2"/>
  <c r="H329" i="2"/>
  <c r="H340" i="2"/>
  <c r="H345" i="2"/>
  <c r="H47" i="2"/>
  <c r="H74" i="2"/>
  <c r="H95" i="2"/>
  <c r="H122" i="2"/>
  <c r="H154" i="2"/>
  <c r="H175" i="2"/>
  <c r="H191" i="2"/>
  <c r="H207" i="2"/>
  <c r="H234" i="2"/>
  <c r="H239" i="2"/>
  <c r="H250" i="2"/>
  <c r="H255" i="2"/>
  <c r="H266" i="2"/>
  <c r="H271" i="2"/>
  <c r="H282" i="2"/>
  <c r="H287" i="2"/>
  <c r="H298" i="2"/>
  <c r="H303" i="2"/>
  <c r="H314" i="2"/>
  <c r="H319" i="2"/>
  <c r="H330" i="2"/>
  <c r="H335" i="2"/>
  <c r="H346" i="2"/>
  <c r="H351" i="2"/>
  <c r="H358" i="2"/>
  <c r="H58" i="2"/>
  <c r="H90" i="2"/>
  <c r="H111" i="2"/>
  <c r="H138" i="2"/>
  <c r="H159" i="2"/>
  <c r="H218" i="2"/>
  <c r="H32" i="2"/>
  <c r="H48" i="2"/>
  <c r="H64" i="2"/>
  <c r="H80" i="2"/>
  <c r="H96" i="2"/>
  <c r="H112" i="2"/>
  <c r="H117" i="2"/>
  <c r="H133" i="2"/>
  <c r="H144" i="2"/>
  <c r="H149" i="2"/>
  <c r="H160" i="2"/>
  <c r="H165" i="2"/>
  <c r="H176" i="2"/>
  <c r="H181" i="2"/>
  <c r="H192" i="2"/>
  <c r="H197" i="2"/>
  <c r="H208" i="2"/>
  <c r="H213" i="2"/>
  <c r="H224" i="2"/>
  <c r="H229" i="2"/>
  <c r="H240" i="2"/>
  <c r="H245" i="2"/>
  <c r="H256" i="2"/>
  <c r="H261" i="2"/>
  <c r="H272" i="2"/>
  <c r="H277" i="2"/>
  <c r="H288" i="2"/>
  <c r="H293" i="2"/>
  <c r="H304" i="2"/>
  <c r="H309" i="2"/>
  <c r="H320" i="2"/>
  <c r="H325" i="2"/>
  <c r="H336" i="2"/>
  <c r="H341" i="2"/>
  <c r="H352" i="2"/>
  <c r="H355" i="2"/>
  <c r="H35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<sst xmlns="http://schemas.openxmlformats.org/spreadsheetml/2006/main" count="6479" uniqueCount="1224">
  <si>
    <t xml:space="preserve">Task Tracker Export for Client Name (COID) : Sempra Energy (G3AWJ7PAVPW7ZPAD) ; CLIENT ID: 8c5ad7ef-d24b-4e9f-9b5f-0cee02f2564c ; FEIN: ALL ; State: EmpNeedAttn ; Category: Form_issues ; Issues: ALL ; Search:  ;Report Date &amp; Time: 04/12/2022 13:03:25 PM .CONFIDENTIAL. Contains personal information. For internal use only. </t>
  </si>
  <si>
    <t>Last Name</t>
  </si>
  <si>
    <t>First Name</t>
  </si>
  <si>
    <t>Employee ID</t>
  </si>
  <si>
    <t>FEIN</t>
  </si>
  <si>
    <t>Tax Year</t>
  </si>
  <si>
    <t>Issue</t>
  </si>
  <si>
    <t>Actual Offer Date</t>
  </si>
  <si>
    <t>Benefit Plan Year</t>
  </si>
  <si>
    <t>Most Recent Import Date</t>
  </si>
  <si>
    <t>Original Hire Date</t>
  </si>
  <si>
    <t>Selected Plan Coverage Start/End Date</t>
  </si>
  <si>
    <t>Selected Plan Name</t>
  </si>
  <si>
    <t>Abbott</t>
  </si>
  <si>
    <t>Linda</t>
  </si>
  <si>
    <t>951240705-SO CAL GAS</t>
  </si>
  <si>
    <t>Individual is enrolled in a COBRA or Retiree plan coverage that was not sent on a current post-enrollment reporting year import</t>
  </si>
  <si>
    <t xml:space="preserve"> </t>
  </si>
  <si>
    <t>06/01/2020-12/31/9999</t>
  </si>
  <si>
    <t>HRA</t>
  </si>
  <si>
    <t>Abreu</t>
  </si>
  <si>
    <t>Alberto</t>
  </si>
  <si>
    <t>453699851-SEMPRA INTERNATIONAL LLC</t>
  </si>
  <si>
    <t>01/01/2018-12/31/9999</t>
  </si>
  <si>
    <t>Anthem Health Care Plus+</t>
  </si>
  <si>
    <t>Acuna</t>
  </si>
  <si>
    <t>Tom</t>
  </si>
  <si>
    <t>951184800-SAN DIEGO GAS &amp; ELECTRIC</t>
  </si>
  <si>
    <t>01/01/2019-12/31/9999</t>
  </si>
  <si>
    <t>Alleyne</t>
  </si>
  <si>
    <t>Count</t>
  </si>
  <si>
    <t>Anthem California Care HMO</t>
  </si>
  <si>
    <t>Alvarado</t>
  </si>
  <si>
    <t>Juan</t>
  </si>
  <si>
    <t>03/01/2018-12/31/9999</t>
  </si>
  <si>
    <t>Alvarez</t>
  </si>
  <si>
    <t>Javier</t>
  </si>
  <si>
    <t>08/01/2020-12/31/9999</t>
  </si>
  <si>
    <t>Andalon</t>
  </si>
  <si>
    <t>Enrique</t>
  </si>
  <si>
    <t>Anderson</t>
  </si>
  <si>
    <t>Kimberly</t>
  </si>
  <si>
    <t>04/01/2019-12/31/9999</t>
  </si>
  <si>
    <t>Richard</t>
  </si>
  <si>
    <t>05/01/2019-12/31/9999</t>
  </si>
  <si>
    <t>Terri</t>
  </si>
  <si>
    <t>Anthem PPO Out-of-CA</t>
  </si>
  <si>
    <t>Andrews</t>
  </si>
  <si>
    <t>Melissa</t>
  </si>
  <si>
    <t>Arechiga</t>
  </si>
  <si>
    <t>Corrine</t>
  </si>
  <si>
    <t>06/01/2019-12/31/9999</t>
  </si>
  <si>
    <t>Austin</t>
  </si>
  <si>
    <t>Patricia</t>
  </si>
  <si>
    <t>05/01/2020-12/31/9999</t>
  </si>
  <si>
    <t>Avolio</t>
  </si>
  <si>
    <t>Ronald</t>
  </si>
  <si>
    <t>12/01/2018-12/31/9999</t>
  </si>
  <si>
    <t>Ayala</t>
  </si>
  <si>
    <t>Maria Isabel</t>
  </si>
  <si>
    <t>04/01/2018-12/31/9999</t>
  </si>
  <si>
    <t>Babbitt</t>
  </si>
  <si>
    <t>Willis</t>
  </si>
  <si>
    <t>01/01/2020-12/31/9999</t>
  </si>
  <si>
    <t>Bachman</t>
  </si>
  <si>
    <t>Michelle</t>
  </si>
  <si>
    <t>Baehr</t>
  </si>
  <si>
    <t>Mike</t>
  </si>
  <si>
    <t>07/01/2020-12/31/9999</t>
  </si>
  <si>
    <t>Bailey</t>
  </si>
  <si>
    <t>Bonnie</t>
  </si>
  <si>
    <t>Anthem Select HMO</t>
  </si>
  <si>
    <t>Baker</t>
  </si>
  <si>
    <t>Georgetta</t>
  </si>
  <si>
    <t>John</t>
  </si>
  <si>
    <t>05/01/2018-12/31/9999</t>
  </si>
  <si>
    <t>Phillip</t>
  </si>
  <si>
    <t>Robert</t>
  </si>
  <si>
    <t>04/01/2020-12/31/9999</t>
  </si>
  <si>
    <t>Baldwin</t>
  </si>
  <si>
    <t>Luther</t>
  </si>
  <si>
    <t>Barnett</t>
  </si>
  <si>
    <t>Elizabeth</t>
  </si>
  <si>
    <t>Barney</t>
  </si>
  <si>
    <t>Gary</t>
  </si>
  <si>
    <t>07/01/2019-12/31/9999</t>
  </si>
  <si>
    <t>Barron</t>
  </si>
  <si>
    <t>Barteld</t>
  </si>
  <si>
    <t>William</t>
  </si>
  <si>
    <t>Bauers</t>
  </si>
  <si>
    <t>Joseph</t>
  </si>
  <si>
    <t>Beltran</t>
  </si>
  <si>
    <t>Eugene</t>
  </si>
  <si>
    <t>10/01/2020-12/31/9999</t>
  </si>
  <si>
    <t>Benedict</t>
  </si>
  <si>
    <t>Karen</t>
  </si>
  <si>
    <t>09/01/2020-12/31/9999</t>
  </si>
  <si>
    <t>Benson</t>
  </si>
  <si>
    <t>Berglund</t>
  </si>
  <si>
    <t>Hugh</t>
  </si>
  <si>
    <t>954673646-SEMPRA SERVICES CORPORATION</t>
  </si>
  <si>
    <t>453715016-SEMPRA INFRASTRUCTURE LLC</t>
  </si>
  <si>
    <t>Bermel</t>
  </si>
  <si>
    <t>Michael</t>
  </si>
  <si>
    <t>02/01/2020-12/31/9999</t>
  </si>
  <si>
    <t>Bertuzzi</t>
  </si>
  <si>
    <t>Randy</t>
  </si>
  <si>
    <t>Bevel</t>
  </si>
  <si>
    <t>Dexter</t>
  </si>
  <si>
    <t>12/01/2018-01/31/2022</t>
  </si>
  <si>
    <t>Bilicic</t>
  </si>
  <si>
    <t>George</t>
  </si>
  <si>
    <t>C4120</t>
  </si>
  <si>
    <t>330732627-SEMPRA ENERGY</t>
  </si>
  <si>
    <t>Anthem Health Care Plus+ *</t>
  </si>
  <si>
    <t>Bisetti</t>
  </si>
  <si>
    <t>Rico</t>
  </si>
  <si>
    <t>Blaauw</t>
  </si>
  <si>
    <t>Wynandus</t>
  </si>
  <si>
    <t>Bland</t>
  </si>
  <si>
    <t>Greg</t>
  </si>
  <si>
    <t>Blaser</t>
  </si>
  <si>
    <t>Kevin</t>
  </si>
  <si>
    <t>10/01/2019-12/31/9999</t>
  </si>
  <si>
    <t>Blaszczynski</t>
  </si>
  <si>
    <t>Mary</t>
  </si>
  <si>
    <t>Bliss</t>
  </si>
  <si>
    <t>Chris</t>
  </si>
  <si>
    <t>Blotzer</t>
  </si>
  <si>
    <t>Dale</t>
  </si>
  <si>
    <t>06/30/2018-12/31/9999</t>
  </si>
  <si>
    <t>Bodwell</t>
  </si>
  <si>
    <t>Theodore</t>
  </si>
  <si>
    <t>Bogan</t>
  </si>
  <si>
    <t>Jennifer</t>
  </si>
  <si>
    <t>Bonner</t>
  </si>
  <si>
    <t>Stuyvesant</t>
  </si>
  <si>
    <t>09/01/2018-12/31/9999</t>
  </si>
  <si>
    <t>Bosley</t>
  </si>
  <si>
    <t>Lorrietta</t>
  </si>
  <si>
    <t>Bourne</t>
  </si>
  <si>
    <t>Edgar</t>
  </si>
  <si>
    <t>Bowen</t>
  </si>
  <si>
    <t>Gloria</t>
  </si>
  <si>
    <t>Boyd</t>
  </si>
  <si>
    <t>Steve</t>
  </si>
  <si>
    <t>Breed</t>
  </si>
  <si>
    <t>Glen</t>
  </si>
  <si>
    <t>Brice</t>
  </si>
  <si>
    <t>Charles</t>
  </si>
  <si>
    <t>08/01/2019-12/31/9999</t>
  </si>
  <si>
    <t>Bright</t>
  </si>
  <si>
    <t>Regina</t>
  </si>
  <si>
    <t>Brookes</t>
  </si>
  <si>
    <t>Margaret</t>
  </si>
  <si>
    <t>Brown</t>
  </si>
  <si>
    <t>Deborah</t>
  </si>
  <si>
    <t>11/01/2018-12/31/9999</t>
  </si>
  <si>
    <t>Bujanda</t>
  </si>
  <si>
    <t>Gilbert</t>
  </si>
  <si>
    <t>Bullock</t>
  </si>
  <si>
    <t>Carmen</t>
  </si>
  <si>
    <t>Burton</t>
  </si>
  <si>
    <t>Katherine</t>
  </si>
  <si>
    <t>Cabral</t>
  </si>
  <si>
    <t>Marie</t>
  </si>
  <si>
    <t>Cabrera</t>
  </si>
  <si>
    <t>Roberto</t>
  </si>
  <si>
    <t>Calabrese</t>
  </si>
  <si>
    <t>Cameron</t>
  </si>
  <si>
    <t>Jimmy</t>
  </si>
  <si>
    <t>Campa</t>
  </si>
  <si>
    <t>Elva</t>
  </si>
  <si>
    <t>10/01/2018-12/31/9999</t>
  </si>
  <si>
    <t>Campo</t>
  </si>
  <si>
    <t>Russell</t>
  </si>
  <si>
    <t>12/01/2019-12/31/9999</t>
  </si>
  <si>
    <t>Campos</t>
  </si>
  <si>
    <t>Cano</t>
  </si>
  <si>
    <t>Lisa</t>
  </si>
  <si>
    <t>Capella</t>
  </si>
  <si>
    <t>07/01/2018-12/31/9999</t>
  </si>
  <si>
    <t>Carleton</t>
  </si>
  <si>
    <t>Patrick</t>
  </si>
  <si>
    <t>Carlson</t>
  </si>
  <si>
    <t>Carr</t>
  </si>
  <si>
    <t>Castillo</t>
  </si>
  <si>
    <t>Denise</t>
  </si>
  <si>
    <t>Celaya</t>
  </si>
  <si>
    <t>Thomas</t>
  </si>
  <si>
    <t>Cervantes</t>
  </si>
  <si>
    <t>Jose</t>
  </si>
  <si>
    <t>Chambers</t>
  </si>
  <si>
    <t>Chang</t>
  </si>
  <si>
    <t>Raul</t>
  </si>
  <si>
    <t>Chappell</t>
  </si>
  <si>
    <t>Nancy</t>
  </si>
  <si>
    <t>Chatman</t>
  </si>
  <si>
    <t>David</t>
  </si>
  <si>
    <t>Chavez</t>
  </si>
  <si>
    <t>Paula</t>
  </si>
  <si>
    <t>Chen</t>
  </si>
  <si>
    <t>Chi-Wei Donna</t>
  </si>
  <si>
    <t>Cicone</t>
  </si>
  <si>
    <t>01/01/2018-03/31/2022</t>
  </si>
  <si>
    <t>Clyatt</t>
  </si>
  <si>
    <t>Colling</t>
  </si>
  <si>
    <t>Martin</t>
  </si>
  <si>
    <t>07/01/2019-03/31/2022</t>
  </si>
  <si>
    <t>Collins</t>
  </si>
  <si>
    <t>Connor</t>
  </si>
  <si>
    <t>Therese</t>
  </si>
  <si>
    <t>Connors</t>
  </si>
  <si>
    <t>Jeanne</t>
  </si>
  <si>
    <t>Contreras</t>
  </si>
  <si>
    <t>Frankie</t>
  </si>
  <si>
    <t>Copino</t>
  </si>
  <si>
    <t>Felicito Vic</t>
  </si>
  <si>
    <t>Cordova</t>
  </si>
  <si>
    <t>Carolyn</t>
  </si>
  <si>
    <t>09/01/2019-12/31/9999</t>
  </si>
  <si>
    <t>Corona</t>
  </si>
  <si>
    <t>Craig</t>
  </si>
  <si>
    <t>Costa</t>
  </si>
  <si>
    <t>Beth</t>
  </si>
  <si>
    <t>Cowel</t>
  </si>
  <si>
    <t>Joyce</t>
  </si>
  <si>
    <t>02/01/2018-12/31/9999</t>
  </si>
  <si>
    <t>Criss</t>
  </si>
  <si>
    <t>Curtis</t>
  </si>
  <si>
    <t>02/01/2019-12/31/9999</t>
  </si>
  <si>
    <t>Critchfield</t>
  </si>
  <si>
    <t>Terry</t>
  </si>
  <si>
    <t>Crockett</t>
  </si>
  <si>
    <t>Susan</t>
  </si>
  <si>
    <t>Cuevas</t>
  </si>
  <si>
    <t>Carlos</t>
  </si>
  <si>
    <t>Cullen</t>
  </si>
  <si>
    <t>Rexford</t>
  </si>
  <si>
    <t>Cummings</t>
  </si>
  <si>
    <t>Cunningham</t>
  </si>
  <si>
    <t>Victoria</t>
  </si>
  <si>
    <t>Curran</t>
  </si>
  <si>
    <t>D&amp;apos;amico</t>
  </si>
  <si>
    <t>Donald</t>
  </si>
  <si>
    <t>Dagg</t>
  </si>
  <si>
    <t>Dahlquist</t>
  </si>
  <si>
    <t>Dahms</t>
  </si>
  <si>
    <t>Davis</t>
  </si>
  <si>
    <t>Matthew</t>
  </si>
  <si>
    <t>De Paola</t>
  </si>
  <si>
    <t>Arline</t>
  </si>
  <si>
    <t>DeMarco</t>
  </si>
  <si>
    <t>Delao</t>
  </si>
  <si>
    <t>Edward</t>
  </si>
  <si>
    <t>Devine</t>
  </si>
  <si>
    <t>Hannah</t>
  </si>
  <si>
    <t>Dibella</t>
  </si>
  <si>
    <t>Anthony</t>
  </si>
  <si>
    <t>11/01/2019-12/31/9999</t>
  </si>
  <si>
    <t>Dinh</t>
  </si>
  <si>
    <t>Nam</t>
  </si>
  <si>
    <t>Dodd</t>
  </si>
  <si>
    <t>Dominguez</t>
  </si>
  <si>
    <t>Frank</t>
  </si>
  <si>
    <t>Dors</t>
  </si>
  <si>
    <t>Debra</t>
  </si>
  <si>
    <t>Dorsano</t>
  </si>
  <si>
    <t>Nick</t>
  </si>
  <si>
    <t>Dozier</t>
  </si>
  <si>
    <t>Drummond</t>
  </si>
  <si>
    <t>Dawn</t>
  </si>
  <si>
    <t>Duarte</t>
  </si>
  <si>
    <t>Karl</t>
  </si>
  <si>
    <t>Dulaney</t>
  </si>
  <si>
    <t>Irene</t>
  </si>
  <si>
    <t>Dumas</t>
  </si>
  <si>
    <t>Jeffery</t>
  </si>
  <si>
    <t>03/01/2019-12/31/9999</t>
  </si>
  <si>
    <t>Durand</t>
  </si>
  <si>
    <t>Keith</t>
  </si>
  <si>
    <t>Dykes</t>
  </si>
  <si>
    <t>Earnest</t>
  </si>
  <si>
    <t>Catherine</t>
  </si>
  <si>
    <t>Edey</t>
  </si>
  <si>
    <t>Duane</t>
  </si>
  <si>
    <t>03/01/2020-12/31/9999</t>
  </si>
  <si>
    <t>Eklund</t>
  </si>
  <si>
    <t>Pauline</t>
  </si>
  <si>
    <t>01/01/2018-02/28/2022</t>
  </si>
  <si>
    <t>Eldridge</t>
  </si>
  <si>
    <t>Ellis</t>
  </si>
  <si>
    <t>Bruce</t>
  </si>
  <si>
    <t>Engh</t>
  </si>
  <si>
    <t>Enstad</t>
  </si>
  <si>
    <t>Aaron</t>
  </si>
  <si>
    <t>Eramela</t>
  </si>
  <si>
    <t>Eschagary</t>
  </si>
  <si>
    <t>Escoto</t>
  </si>
  <si>
    <t>Stella</t>
  </si>
  <si>
    <t>Espinosa</t>
  </si>
  <si>
    <t>Raymond</t>
  </si>
  <si>
    <t>Estrada</t>
  </si>
  <si>
    <t>Anne</t>
  </si>
  <si>
    <t>Evans</t>
  </si>
  <si>
    <t>Farquhar</t>
  </si>
  <si>
    <t>Peter</t>
  </si>
  <si>
    <t>Faux</t>
  </si>
  <si>
    <t>Sandra</t>
  </si>
  <si>
    <t>Feldkamp</t>
  </si>
  <si>
    <t>Gordon</t>
  </si>
  <si>
    <t>Ferro</t>
  </si>
  <si>
    <t>Felipe</t>
  </si>
  <si>
    <t>Fields</t>
  </si>
  <si>
    <t>Ross</t>
  </si>
  <si>
    <t>Figueroa</t>
  </si>
  <si>
    <t>Francisco</t>
  </si>
  <si>
    <t>Vicki</t>
  </si>
  <si>
    <t>Fisher</t>
  </si>
  <si>
    <t>Fleming</t>
  </si>
  <si>
    <t>Flohs</t>
  </si>
  <si>
    <t>Alicia</t>
  </si>
  <si>
    <t>Flowers</t>
  </si>
  <si>
    <t>Joanne</t>
  </si>
  <si>
    <t>Flynn</t>
  </si>
  <si>
    <t>Followell</t>
  </si>
  <si>
    <t>Fong</t>
  </si>
  <si>
    <t>Ford</t>
  </si>
  <si>
    <t>Willie</t>
  </si>
  <si>
    <t>Fort</t>
  </si>
  <si>
    <t>Randall</t>
  </si>
  <si>
    <t>Franke</t>
  </si>
  <si>
    <t>Sara</t>
  </si>
  <si>
    <t>Franklin</t>
  </si>
  <si>
    <t>Wanda</t>
  </si>
  <si>
    <t>Fratamico</t>
  </si>
  <si>
    <t>474996138-SEMPRA LNG &amp; MIDSTREAM LLC</t>
  </si>
  <si>
    <t>Freymiller</t>
  </si>
  <si>
    <t>Monica</t>
  </si>
  <si>
    <t>Fritsch</t>
  </si>
  <si>
    <t>R Russell</t>
  </si>
  <si>
    <t>Frost</t>
  </si>
  <si>
    <t>Grant</t>
  </si>
  <si>
    <t>Frutos</t>
  </si>
  <si>
    <t>Furlong</t>
  </si>
  <si>
    <t>Galbreath</t>
  </si>
  <si>
    <t>08/01/2019-04/30/2022</t>
  </si>
  <si>
    <t>Garcia</t>
  </si>
  <si>
    <t>Consuelo</t>
  </si>
  <si>
    <t>Ricardo</t>
  </si>
  <si>
    <t>Gautschy</t>
  </si>
  <si>
    <t>Steven</t>
  </si>
  <si>
    <t>Gelbart</t>
  </si>
  <si>
    <t>Teresita</t>
  </si>
  <si>
    <t>Gendron</t>
  </si>
  <si>
    <t>Paul</t>
  </si>
  <si>
    <t>Germany</t>
  </si>
  <si>
    <t>Pamela</t>
  </si>
  <si>
    <t>Gibson</t>
  </si>
  <si>
    <t>Gillard</t>
  </si>
  <si>
    <t>Toby</t>
  </si>
  <si>
    <t>Gillespie</t>
  </si>
  <si>
    <t>264364859-SEMPRA RENEWABLES SERVICES INC</t>
  </si>
  <si>
    <t>Gilmore</t>
  </si>
  <si>
    <t>Lynn</t>
  </si>
  <si>
    <t>01/01/2018-01/31/2022</t>
  </si>
  <si>
    <t>Giurgiulescu</t>
  </si>
  <si>
    <t>Ion</t>
  </si>
  <si>
    <t>Godoy</t>
  </si>
  <si>
    <t>Tammy</t>
  </si>
  <si>
    <t>Gomez</t>
  </si>
  <si>
    <t>Sharon</t>
  </si>
  <si>
    <t>Gonzales</t>
  </si>
  <si>
    <t>Ramon</t>
  </si>
  <si>
    <t>Samuel</t>
  </si>
  <si>
    <t>Victor</t>
  </si>
  <si>
    <t>Harry</t>
  </si>
  <si>
    <t>Gotauco</t>
  </si>
  <si>
    <t>Rafael</t>
  </si>
  <si>
    <t>02/01/2020-01/31/2022</t>
  </si>
  <si>
    <t>Greenhall</t>
  </si>
  <si>
    <t>Rick</t>
  </si>
  <si>
    <t>Grefsrud</t>
  </si>
  <si>
    <t>Leo</t>
  </si>
  <si>
    <t>Griffin</t>
  </si>
  <si>
    <t>Owens</t>
  </si>
  <si>
    <t>Guerra</t>
  </si>
  <si>
    <t>Guillen</t>
  </si>
  <si>
    <t>Abraham</t>
  </si>
  <si>
    <t>E1757</t>
  </si>
  <si>
    <t>Employee has an offer prior to being hired</t>
  </si>
  <si>
    <t>01/01/2022-12/31/2022</t>
  </si>
  <si>
    <t>Gullo</t>
  </si>
  <si>
    <t>Anthem Select Plus HMO</t>
  </si>
  <si>
    <t>Guthrie</t>
  </si>
  <si>
    <t>Barbara</t>
  </si>
  <si>
    <t>Gutierrez</t>
  </si>
  <si>
    <t>Maria</t>
  </si>
  <si>
    <t>Haas</t>
  </si>
  <si>
    <t>06/01/2018-12/31/9999</t>
  </si>
  <si>
    <t>Hackett</t>
  </si>
  <si>
    <t>Lorinda</t>
  </si>
  <si>
    <t>Haddow</t>
  </si>
  <si>
    <t>Gregory</t>
  </si>
  <si>
    <t>Hadi</t>
  </si>
  <si>
    <t>Mohammad</t>
  </si>
  <si>
    <t>Hale</t>
  </si>
  <si>
    <t>Stephen</t>
  </si>
  <si>
    <t>Haley</t>
  </si>
  <si>
    <t>Larry</t>
  </si>
  <si>
    <t>Hammer</t>
  </si>
  <si>
    <t>01/01/2019-04/30/2022</t>
  </si>
  <si>
    <t>Hann</t>
  </si>
  <si>
    <t>Hanson</t>
  </si>
  <si>
    <t>Harrison</t>
  </si>
  <si>
    <t>Hart</t>
  </si>
  <si>
    <t>01/01/2020-02/28/2022</t>
  </si>
  <si>
    <t>Hartfield</t>
  </si>
  <si>
    <t>Harutunian</t>
  </si>
  <si>
    <t>Harviston</t>
  </si>
  <si>
    <t>Corby</t>
  </si>
  <si>
    <t>Haugh</t>
  </si>
  <si>
    <t>Heister</t>
  </si>
  <si>
    <t>Henderson</t>
  </si>
  <si>
    <t>Brian</t>
  </si>
  <si>
    <t>Heredia</t>
  </si>
  <si>
    <t>02/01/2019-02/28/2022</t>
  </si>
  <si>
    <t>Herle</t>
  </si>
  <si>
    <t>Hermosillo</t>
  </si>
  <si>
    <t>Jaime</t>
  </si>
  <si>
    <t>Hern</t>
  </si>
  <si>
    <t>Hernandez</t>
  </si>
  <si>
    <t>Daniel</t>
  </si>
  <si>
    <t>Humberto</t>
  </si>
  <si>
    <t>Miguel</t>
  </si>
  <si>
    <t>Herrman</t>
  </si>
  <si>
    <t>Wayne</t>
  </si>
  <si>
    <t>Heskett</t>
  </si>
  <si>
    <t>Hilbrich</t>
  </si>
  <si>
    <t>Jon</t>
  </si>
  <si>
    <t>Hinde</t>
  </si>
  <si>
    <t>Hobbs</t>
  </si>
  <si>
    <t>Hodge</t>
  </si>
  <si>
    <t>06/05/2020-12/31/9999</t>
  </si>
  <si>
    <t>Hodnett</t>
  </si>
  <si>
    <t>Hoffman</t>
  </si>
  <si>
    <t>Hooey</t>
  </si>
  <si>
    <t>Dean</t>
  </si>
  <si>
    <t>Howard</t>
  </si>
  <si>
    <t>Howell</t>
  </si>
  <si>
    <t>Micheal</t>
  </si>
  <si>
    <t>Illingworth</t>
  </si>
  <si>
    <t>Robin</t>
  </si>
  <si>
    <t>08/01/2019-02/28/2022</t>
  </si>
  <si>
    <t>Inohara</t>
  </si>
  <si>
    <t>Glenn</t>
  </si>
  <si>
    <t>Kayoko</t>
  </si>
  <si>
    <t>Ishikawa</t>
  </si>
  <si>
    <t>Jackson</t>
  </si>
  <si>
    <t>Garland</t>
  </si>
  <si>
    <t>Jacobs</t>
  </si>
  <si>
    <t>Silvia</t>
  </si>
  <si>
    <t>Jacobson</t>
  </si>
  <si>
    <t>Stefanie</t>
  </si>
  <si>
    <t>Irma</t>
  </si>
  <si>
    <t>Jarnagin</t>
  </si>
  <si>
    <t>Tijuanna</t>
  </si>
  <si>
    <t>Jenks</t>
  </si>
  <si>
    <t>Jewett</t>
  </si>
  <si>
    <t>Jimenez</t>
  </si>
  <si>
    <t>Alice</t>
  </si>
  <si>
    <t>Johnson</t>
  </si>
  <si>
    <t>08/01/2018-12/31/9999</t>
  </si>
  <si>
    <t>Sheldon</t>
  </si>
  <si>
    <t>02/23/2020-12/31/9999</t>
  </si>
  <si>
    <t>Jolla</t>
  </si>
  <si>
    <t>Jones-Moore</t>
  </si>
  <si>
    <t>Donna</t>
  </si>
  <si>
    <t>Jonkhoff</t>
  </si>
  <si>
    <t>Jurey</t>
  </si>
  <si>
    <t>Justis</t>
  </si>
  <si>
    <t>Vic</t>
  </si>
  <si>
    <t>Kakuda-Carwile</t>
  </si>
  <si>
    <t>Kaufman</t>
  </si>
  <si>
    <t>Kurt</t>
  </si>
  <si>
    <t>Kauppila</t>
  </si>
  <si>
    <t>Lonnie</t>
  </si>
  <si>
    <t>Kelley</t>
  </si>
  <si>
    <t>Kelly</t>
  </si>
  <si>
    <t>Kathleen</t>
  </si>
  <si>
    <t>Veronica</t>
  </si>
  <si>
    <t>Keyes</t>
  </si>
  <si>
    <t>Ryan</t>
  </si>
  <si>
    <t>Kim</t>
  </si>
  <si>
    <t>Agnes</t>
  </si>
  <si>
    <t>Kinjo</t>
  </si>
  <si>
    <t>Kinney</t>
  </si>
  <si>
    <t>Vance</t>
  </si>
  <si>
    <t>Kirnberger</t>
  </si>
  <si>
    <t>Kline</t>
  </si>
  <si>
    <t>Douglas</t>
  </si>
  <si>
    <t>Koelle</t>
  </si>
  <si>
    <t>Dennis</t>
  </si>
  <si>
    <t>Konopka</t>
  </si>
  <si>
    <t>Kent</t>
  </si>
  <si>
    <t>Koskie</t>
  </si>
  <si>
    <t>Kouma-Renteria</t>
  </si>
  <si>
    <t>Krevat</t>
  </si>
  <si>
    <t>Lee</t>
  </si>
  <si>
    <t>Kussman</t>
  </si>
  <si>
    <t>La Forest</t>
  </si>
  <si>
    <t>Kenneth</t>
  </si>
  <si>
    <t>LaRagione</t>
  </si>
  <si>
    <t>Teresa</t>
  </si>
  <si>
    <t>Lai</t>
  </si>
  <si>
    <t>Zung</t>
  </si>
  <si>
    <t>Lam</t>
  </si>
  <si>
    <t>Chuong</t>
  </si>
  <si>
    <t>Lampier</t>
  </si>
  <si>
    <t>James</t>
  </si>
  <si>
    <t>Anthem Out of Area</t>
  </si>
  <si>
    <t>Lane</t>
  </si>
  <si>
    <t>Bradley</t>
  </si>
  <si>
    <t>Joe</t>
  </si>
  <si>
    <t>Larson</t>
  </si>
  <si>
    <t>Arthur</t>
  </si>
  <si>
    <t>Lassiter</t>
  </si>
  <si>
    <t>Lauterio</t>
  </si>
  <si>
    <t>Lauzier</t>
  </si>
  <si>
    <t>Lawson</t>
  </si>
  <si>
    <t>Typree</t>
  </si>
  <si>
    <t>Leeman</t>
  </si>
  <si>
    <t>Tim</t>
  </si>
  <si>
    <t>Lenker</t>
  </si>
  <si>
    <t>Roger</t>
  </si>
  <si>
    <t>Lennox</t>
  </si>
  <si>
    <t>Leon</t>
  </si>
  <si>
    <t>Dolores</t>
  </si>
  <si>
    <t>Leso</t>
  </si>
  <si>
    <t>Letcher</t>
  </si>
  <si>
    <t>Leuthe</t>
  </si>
  <si>
    <t>Dedra</t>
  </si>
  <si>
    <t>05/01/2018-03/31/2022</t>
  </si>
  <si>
    <t>Lewis</t>
  </si>
  <si>
    <t>Philip</t>
  </si>
  <si>
    <t>Li</t>
  </si>
  <si>
    <t>Christina</t>
  </si>
  <si>
    <t>Liebman</t>
  </si>
  <si>
    <t>Lori</t>
  </si>
  <si>
    <t>Lightsey</t>
  </si>
  <si>
    <t>Sheila</t>
  </si>
  <si>
    <t>Liles</t>
  </si>
  <si>
    <t>Lilley</t>
  </si>
  <si>
    <t>Lisiecki</t>
  </si>
  <si>
    <t>Littlefield</t>
  </si>
  <si>
    <t>Liu</t>
  </si>
  <si>
    <t>Holly</t>
  </si>
  <si>
    <t>Lobato</t>
  </si>
  <si>
    <t>Lockhart</t>
  </si>
  <si>
    <t>Julia</t>
  </si>
  <si>
    <t>Logan</t>
  </si>
  <si>
    <t>11/01/2018-02/28/2022</t>
  </si>
  <si>
    <t>Long</t>
  </si>
  <si>
    <t>Tamie</t>
  </si>
  <si>
    <t>Lopez</t>
  </si>
  <si>
    <t>Louie</t>
  </si>
  <si>
    <t>Hoymond</t>
  </si>
  <si>
    <t>Loveless</t>
  </si>
  <si>
    <t>Berkeley</t>
  </si>
  <si>
    <t>Lowen</t>
  </si>
  <si>
    <t>Lowes</t>
  </si>
  <si>
    <t>Rita</t>
  </si>
  <si>
    <t>J107CA1 - Anthem Health Care Plus+ *</t>
  </si>
  <si>
    <t>Lujan</t>
  </si>
  <si>
    <t>Mark</t>
  </si>
  <si>
    <t>01/01/2019-03/31/2022</t>
  </si>
  <si>
    <t>Lynch</t>
  </si>
  <si>
    <t>Madera-Meza</t>
  </si>
  <si>
    <t>Olga</t>
  </si>
  <si>
    <t>Magnuson</t>
  </si>
  <si>
    <t>Mallory</t>
  </si>
  <si>
    <t>Christopher</t>
  </si>
  <si>
    <t>Manning</t>
  </si>
  <si>
    <t>Lela</t>
  </si>
  <si>
    <t>Manoogian</t>
  </si>
  <si>
    <t>Manry</t>
  </si>
  <si>
    <t>Mariano</t>
  </si>
  <si>
    <t>Lourdes</t>
  </si>
  <si>
    <t>Marks</t>
  </si>
  <si>
    <t>Marc</t>
  </si>
  <si>
    <t>Yolanda</t>
  </si>
  <si>
    <t>Tracey</t>
  </si>
  <si>
    <t>Martinez</t>
  </si>
  <si>
    <t>Rudy</t>
  </si>
  <si>
    <t>Mastro</t>
  </si>
  <si>
    <t>Mayberry</t>
  </si>
  <si>
    <t>Mc Arthur</t>
  </si>
  <si>
    <t>Mc Clintock</t>
  </si>
  <si>
    <t>McCart</t>
  </si>
  <si>
    <t>Marilyn</t>
  </si>
  <si>
    <t>McClain</t>
  </si>
  <si>
    <t>McClelland</t>
  </si>
  <si>
    <t>Corey</t>
  </si>
  <si>
    <t>McInerney</t>
  </si>
  <si>
    <t>McMorris</t>
  </si>
  <si>
    <t>Mccarty</t>
  </si>
  <si>
    <t>Mccoy</t>
  </si>
  <si>
    <t>Ron</t>
  </si>
  <si>
    <t>Mclain</t>
  </si>
  <si>
    <t>Janet</t>
  </si>
  <si>
    <t>Mcnamee</t>
  </si>
  <si>
    <t>Mcstravick</t>
  </si>
  <si>
    <t>Means</t>
  </si>
  <si>
    <t>Medina</t>
  </si>
  <si>
    <t>Medrano</t>
  </si>
  <si>
    <t>Mejia</t>
  </si>
  <si>
    <t>Bertha</t>
  </si>
  <si>
    <t>Mendez</t>
  </si>
  <si>
    <t>Mendivil</t>
  </si>
  <si>
    <t>Myles</t>
  </si>
  <si>
    <t>B5340</t>
  </si>
  <si>
    <t>Miele</t>
  </si>
  <si>
    <t>Mikovits</t>
  </si>
  <si>
    <t>Miller</t>
  </si>
  <si>
    <t>Miranda</t>
  </si>
  <si>
    <t>Luz</t>
  </si>
  <si>
    <t>Mohr</t>
  </si>
  <si>
    <t>Monge</t>
  </si>
  <si>
    <t>Montgomery</t>
  </si>
  <si>
    <t>Rosemary</t>
  </si>
  <si>
    <t>Monugian</t>
  </si>
  <si>
    <t>Moody</t>
  </si>
  <si>
    <t>Moore</t>
  </si>
  <si>
    <t>Caroline</t>
  </si>
  <si>
    <t>Morales</t>
  </si>
  <si>
    <t>Moreno</t>
  </si>
  <si>
    <t>01/01/2018-04/30/2022</t>
  </si>
  <si>
    <t>Roland</t>
  </si>
  <si>
    <t>Moret</t>
  </si>
  <si>
    <t>Oliver</t>
  </si>
  <si>
    <t>Muffley</t>
  </si>
  <si>
    <t>Jeffrey</t>
  </si>
  <si>
    <t>Muir</t>
  </si>
  <si>
    <t>Sally</t>
  </si>
  <si>
    <t>Mullen</t>
  </si>
  <si>
    <t>Mullner</t>
  </si>
  <si>
    <t>Munoz</t>
  </si>
  <si>
    <t>Myers</t>
  </si>
  <si>
    <t>Nacke</t>
  </si>
  <si>
    <t>Naderi</t>
  </si>
  <si>
    <t>Hamid</t>
  </si>
  <si>
    <t>Nall</t>
  </si>
  <si>
    <t>06/08/2020-12/31/9999</t>
  </si>
  <si>
    <t>Naziri</t>
  </si>
  <si>
    <t>Wendy</t>
  </si>
  <si>
    <t>Neiman</t>
  </si>
  <si>
    <t>Shaun</t>
  </si>
  <si>
    <t>Nelson</t>
  </si>
  <si>
    <t>Leslie</t>
  </si>
  <si>
    <t>Nerone</t>
  </si>
  <si>
    <t>Crystal</t>
  </si>
  <si>
    <t>Newton</t>
  </si>
  <si>
    <t>Gustavo</t>
  </si>
  <si>
    <t>Nickolei</t>
  </si>
  <si>
    <t>Randal</t>
  </si>
  <si>
    <t>Nieblas</t>
  </si>
  <si>
    <t>Nieto</t>
  </si>
  <si>
    <t>Lucia</t>
  </si>
  <si>
    <t>Noakes</t>
  </si>
  <si>
    <t>Noel</t>
  </si>
  <si>
    <t>Norman</t>
  </si>
  <si>
    <t>Nunes</t>
  </si>
  <si>
    <t>O&amp;apos;Donnell</t>
  </si>
  <si>
    <t>O&amp;apos;Rourke</t>
  </si>
  <si>
    <t>O&amp;apos;neill</t>
  </si>
  <si>
    <t>O' Donnell</t>
  </si>
  <si>
    <t>O'Malley</t>
  </si>
  <si>
    <t>O'Neal</t>
  </si>
  <si>
    <t>Pinkie</t>
  </si>
  <si>
    <t>Stephanie</t>
  </si>
  <si>
    <t>Olson</t>
  </si>
  <si>
    <t>Ornelas</t>
  </si>
  <si>
    <t>Louis</t>
  </si>
  <si>
    <t>Orona</t>
  </si>
  <si>
    <t>Ortega</t>
  </si>
  <si>
    <t>Eddie</t>
  </si>
  <si>
    <t>Osollo</t>
  </si>
  <si>
    <t>Ostovich</t>
  </si>
  <si>
    <t>Padgett</t>
  </si>
  <si>
    <t>Ernest</t>
  </si>
  <si>
    <t>Padilla</t>
  </si>
  <si>
    <t>Parish</t>
  </si>
  <si>
    <t>Parocua</t>
  </si>
  <si>
    <t>Hector</t>
  </si>
  <si>
    <t>Pascoe</t>
  </si>
  <si>
    <t>Perez</t>
  </si>
  <si>
    <t>Pernu</t>
  </si>
  <si>
    <t>Peterson</t>
  </si>
  <si>
    <t>Carol</t>
  </si>
  <si>
    <t>Jody</t>
  </si>
  <si>
    <t>Phipps</t>
  </si>
  <si>
    <t>Pike</t>
  </si>
  <si>
    <t>Shirley</t>
  </si>
  <si>
    <t>Pinard</t>
  </si>
  <si>
    <t>Real</t>
  </si>
  <si>
    <t>Pirraglia</t>
  </si>
  <si>
    <t>Poepke</t>
  </si>
  <si>
    <t>Poole</t>
  </si>
  <si>
    <t>Cynthia</t>
  </si>
  <si>
    <t>Pope</t>
  </si>
  <si>
    <t>Powell</t>
  </si>
  <si>
    <t>Lawrence</t>
  </si>
  <si>
    <t>Prado</t>
  </si>
  <si>
    <t>Radchenko</t>
  </si>
  <si>
    <t>Lana</t>
  </si>
  <si>
    <t>Ramirez</t>
  </si>
  <si>
    <t>Rasile</t>
  </si>
  <si>
    <t>11/01/2018-01/31/2022</t>
  </si>
  <si>
    <t>Rasmussen</t>
  </si>
  <si>
    <t>Realivasquez</t>
  </si>
  <si>
    <t>Redondo</t>
  </si>
  <si>
    <t>Rachel</t>
  </si>
  <si>
    <t>Reidy</t>
  </si>
  <si>
    <t>Relph</t>
  </si>
  <si>
    <t>Requena</t>
  </si>
  <si>
    <t>Dina</t>
  </si>
  <si>
    <t>Reyes</t>
  </si>
  <si>
    <t>Eloise</t>
  </si>
  <si>
    <t>Reynoso</t>
  </si>
  <si>
    <t>Elvia</t>
  </si>
  <si>
    <t>Rhoades</t>
  </si>
  <si>
    <t>Virgil</t>
  </si>
  <si>
    <t>Henry</t>
  </si>
  <si>
    <t>Ridge</t>
  </si>
  <si>
    <t>Sande</t>
  </si>
  <si>
    <t>Rivera</t>
  </si>
  <si>
    <t>Ruben</t>
  </si>
  <si>
    <t>Roberge</t>
  </si>
  <si>
    <t>Roberts</t>
  </si>
  <si>
    <t>Becky</t>
  </si>
  <si>
    <t>Robertson</t>
  </si>
  <si>
    <t>Robinson</t>
  </si>
  <si>
    <t>Michiko</t>
  </si>
  <si>
    <t>Robles</t>
  </si>
  <si>
    <t>Rocke</t>
  </si>
  <si>
    <t>Rodgers</t>
  </si>
  <si>
    <t>Diane</t>
  </si>
  <si>
    <t>Rodriguez</t>
  </si>
  <si>
    <t>Rodriquez</t>
  </si>
  <si>
    <t>Jesse</t>
  </si>
  <si>
    <t>Rojas</t>
  </si>
  <si>
    <t>Roldan</t>
  </si>
  <si>
    <t>Annette</t>
  </si>
  <si>
    <t>Romero</t>
  </si>
  <si>
    <t>Domingo</t>
  </si>
  <si>
    <t>Rebecca</t>
  </si>
  <si>
    <t>Rubin</t>
  </si>
  <si>
    <t>Rudolph</t>
  </si>
  <si>
    <t>Dianna</t>
  </si>
  <si>
    <t>Rudshagen</t>
  </si>
  <si>
    <t>02/01/2020-02/28/2022</t>
  </si>
  <si>
    <t>Rumsey</t>
  </si>
  <si>
    <t>Sabo</t>
  </si>
  <si>
    <t>Saelens</t>
  </si>
  <si>
    <t>Saenz</t>
  </si>
  <si>
    <t>Sagouspe</t>
  </si>
  <si>
    <t>Barry</t>
  </si>
  <si>
    <t>Saile</t>
  </si>
  <si>
    <t>Salazar</t>
  </si>
  <si>
    <t>Sanchez</t>
  </si>
  <si>
    <t>Alfred</t>
  </si>
  <si>
    <t>Saucer</t>
  </si>
  <si>
    <t>Savery</t>
  </si>
  <si>
    <t>Schavrien</t>
  </si>
  <si>
    <t>Schiller</t>
  </si>
  <si>
    <t>Schwarz</t>
  </si>
  <si>
    <t>10/01/2018-03/31/2022</t>
  </si>
  <si>
    <t>Scott</t>
  </si>
  <si>
    <t>Curt</t>
  </si>
  <si>
    <t>Scull</t>
  </si>
  <si>
    <t>Seaberg</t>
  </si>
  <si>
    <t>See</t>
  </si>
  <si>
    <t>Seers</t>
  </si>
  <si>
    <t>Segovia</t>
  </si>
  <si>
    <t>Seifert</t>
  </si>
  <si>
    <t>Sena</t>
  </si>
  <si>
    <t>Serrato</t>
  </si>
  <si>
    <t>Shea</t>
  </si>
  <si>
    <t>Shepherd</t>
  </si>
  <si>
    <t>Cheryl</t>
  </si>
  <si>
    <t>Shiroishi</t>
  </si>
  <si>
    <t>Silva</t>
  </si>
  <si>
    <t>Gabriel</t>
  </si>
  <si>
    <t>Simmons</t>
  </si>
  <si>
    <t>Simpson</t>
  </si>
  <si>
    <t>Skidmore</t>
  </si>
  <si>
    <t>Virginia</t>
  </si>
  <si>
    <t>Skurski</t>
  </si>
  <si>
    <t>Sledzinski</t>
  </si>
  <si>
    <t>Francis</t>
  </si>
  <si>
    <t>Smith</t>
  </si>
  <si>
    <t>Cathy</t>
  </si>
  <si>
    <t>Snell</t>
  </si>
  <si>
    <t>Snyder</t>
  </si>
  <si>
    <t>Hal</t>
  </si>
  <si>
    <t>Sonnenwald</t>
  </si>
  <si>
    <t>Sonora</t>
  </si>
  <si>
    <t>Sorrels</t>
  </si>
  <si>
    <t>Soto</t>
  </si>
  <si>
    <t>Sowers</t>
  </si>
  <si>
    <t>Spasaro</t>
  </si>
  <si>
    <t>Spencer</t>
  </si>
  <si>
    <t>Sperakos</t>
  </si>
  <si>
    <t>Stacy</t>
  </si>
  <si>
    <t>Rosellen</t>
  </si>
  <si>
    <t>Steele</t>
  </si>
  <si>
    <t>Steelman</t>
  </si>
  <si>
    <t>Stephens</t>
  </si>
  <si>
    <t>Tonia</t>
  </si>
  <si>
    <t>Stielau</t>
  </si>
  <si>
    <t>Stoltenberg</t>
  </si>
  <si>
    <t>Stoneman</t>
  </si>
  <si>
    <t>Dan</t>
  </si>
  <si>
    <t>01/01/2019-01/31/2022</t>
  </si>
  <si>
    <t>Strassel</t>
  </si>
  <si>
    <t>Strukelj</t>
  </si>
  <si>
    <t>Sweat</t>
  </si>
  <si>
    <t>Rosy</t>
  </si>
  <si>
    <t>Sweet</t>
  </si>
  <si>
    <t>Delwin</t>
  </si>
  <si>
    <t>Switzer</t>
  </si>
  <si>
    <t>Talamantes</t>
  </si>
  <si>
    <t>Isabelle</t>
  </si>
  <si>
    <t>Tamayo</t>
  </si>
  <si>
    <t>Eleanor</t>
  </si>
  <si>
    <t>Taylor</t>
  </si>
  <si>
    <t>Tellez-Giron</t>
  </si>
  <si>
    <t>Arturo</t>
  </si>
  <si>
    <t>Thompson</t>
  </si>
  <si>
    <t>Thurstan</t>
  </si>
  <si>
    <t>Tiritilli</t>
  </si>
  <si>
    <t>Tish</t>
  </si>
  <si>
    <t>Toombs</t>
  </si>
  <si>
    <t>Torcivia</t>
  </si>
  <si>
    <t>Torres</t>
  </si>
  <si>
    <t>Tran</t>
  </si>
  <si>
    <t>Tri</t>
  </si>
  <si>
    <t>Trinidad</t>
  </si>
  <si>
    <t>Maria Jesusa</t>
  </si>
  <si>
    <t>Trujillo</t>
  </si>
  <si>
    <t>Elsa</t>
  </si>
  <si>
    <t>Tucker</t>
  </si>
  <si>
    <t>Tupaz</t>
  </si>
  <si>
    <t>Rolando</t>
  </si>
  <si>
    <t>08/09/2020-12/31/9999</t>
  </si>
  <si>
    <t>Turley</t>
  </si>
  <si>
    <t>10/01/2018-04/30/2022</t>
  </si>
  <si>
    <t>Turnbull</t>
  </si>
  <si>
    <t>Eva</t>
  </si>
  <si>
    <t>Turner</t>
  </si>
  <si>
    <t>Marvin</t>
  </si>
  <si>
    <t>Ung</t>
  </si>
  <si>
    <t>Nareth</t>
  </si>
  <si>
    <t>Urtasun</t>
  </si>
  <si>
    <t>Valdez</t>
  </si>
  <si>
    <t>Antonio</t>
  </si>
  <si>
    <t>Valles</t>
  </si>
  <si>
    <t>Vargo</t>
  </si>
  <si>
    <t>Vela-Castro</t>
  </si>
  <si>
    <t>Cecilia</t>
  </si>
  <si>
    <t>Velasco</t>
  </si>
  <si>
    <t>Elaine</t>
  </si>
  <si>
    <t>Vermeule</t>
  </si>
  <si>
    <t>02/16/2018-12/31/9999</t>
  </si>
  <si>
    <t>Verry</t>
  </si>
  <si>
    <t>Villarreal</t>
  </si>
  <si>
    <t>Lilia</t>
  </si>
  <si>
    <t>Vitug</t>
  </si>
  <si>
    <t>Von Winckler</t>
  </si>
  <si>
    <t>08/01/2020-01/31/2022</t>
  </si>
  <si>
    <t>Wagner</t>
  </si>
  <si>
    <t>Waite</t>
  </si>
  <si>
    <t>Terrie</t>
  </si>
  <si>
    <t>Ward</t>
  </si>
  <si>
    <t>Warner</t>
  </si>
  <si>
    <t>Watkins</t>
  </si>
  <si>
    <t>Welisch-Samuelson</t>
  </si>
  <si>
    <t>Gina</t>
  </si>
  <si>
    <t>Wheaton</t>
  </si>
  <si>
    <t>Walter</t>
  </si>
  <si>
    <t>White</t>
  </si>
  <si>
    <t>Wight</t>
  </si>
  <si>
    <t>Williams-Jovoni</t>
  </si>
  <si>
    <t>Gayle</t>
  </si>
  <si>
    <t>Williamson</t>
  </si>
  <si>
    <t>Wilson</t>
  </si>
  <si>
    <t>Gwendolyn</t>
  </si>
  <si>
    <t>Wimbley</t>
  </si>
  <si>
    <t>Birdie</t>
  </si>
  <si>
    <t>Wingert</t>
  </si>
  <si>
    <t>Brad</t>
  </si>
  <si>
    <t>Wirthlin</t>
  </si>
  <si>
    <t>Wisecaver</t>
  </si>
  <si>
    <t>Jerome</t>
  </si>
  <si>
    <t>Witmer</t>
  </si>
  <si>
    <t>Mary Ann</t>
  </si>
  <si>
    <t>Wittwer</t>
  </si>
  <si>
    <t>Kathryn</t>
  </si>
  <si>
    <t>Wohlgemuth</t>
  </si>
  <si>
    <t>Wood</t>
  </si>
  <si>
    <t>Arnold</t>
  </si>
  <si>
    <t>02/09/2020-12/31/9999</t>
  </si>
  <si>
    <t>Woods</t>
  </si>
  <si>
    <t>Mary Lou</t>
  </si>
  <si>
    <t>Woodson</t>
  </si>
  <si>
    <t>Rubi</t>
  </si>
  <si>
    <t>Wright</t>
  </si>
  <si>
    <t>01/01/2020-01/31/2022</t>
  </si>
  <si>
    <t>Wyman</t>
  </si>
  <si>
    <t>Yanase</t>
  </si>
  <si>
    <t>Yee</t>
  </si>
  <si>
    <t>Garry</t>
  </si>
  <si>
    <t>Young</t>
  </si>
  <si>
    <t>Ysaac</t>
  </si>
  <si>
    <t>Ysabal</t>
  </si>
  <si>
    <t>Yu</t>
  </si>
  <si>
    <t>Zafra</t>
  </si>
  <si>
    <t>Renato</t>
  </si>
  <si>
    <t>Zamora</t>
  </si>
  <si>
    <t>Zamudio</t>
  </si>
  <si>
    <t>Ted</t>
  </si>
  <si>
    <t>06/01/2019-04/30/2022</t>
  </si>
  <si>
    <t>Zaura</t>
  </si>
  <si>
    <t>Ziemer</t>
  </si>
  <si>
    <t>THOMAS</t>
  </si>
  <si>
    <t>TRAN</t>
  </si>
  <si>
    <t>Kaiser Permanente Senior Advantage HMO</t>
  </si>
  <si>
    <t>KEITH</t>
  </si>
  <si>
    <t>FISHER</t>
  </si>
  <si>
    <t>PATRICIA</t>
  </si>
  <si>
    <t>ANTHONY</t>
  </si>
  <si>
    <t>FRANK</t>
  </si>
  <si>
    <t>FRUTOS</t>
  </si>
  <si>
    <t>TIJUANNA</t>
  </si>
  <si>
    <t>JARNAGIN</t>
  </si>
  <si>
    <t>ARTHUR</t>
  </si>
  <si>
    <t>SENA</t>
  </si>
  <si>
    <t>VIRGINIA</t>
  </si>
  <si>
    <t>SKIDMORE</t>
  </si>
  <si>
    <t>OSTOVICH</t>
  </si>
  <si>
    <t>VERONICA</t>
  </si>
  <si>
    <t>KELLY</t>
  </si>
  <si>
    <t>DEBRA</t>
  </si>
  <si>
    <t>SHIROISHI</t>
  </si>
  <si>
    <t>UHC Medicare Advantage PPO Plan N</t>
  </si>
  <si>
    <t>TERRY</t>
  </si>
  <si>
    <t>WOODS</t>
  </si>
  <si>
    <t>Kaiser Permanente HMO</t>
  </si>
  <si>
    <t>KENT</t>
  </si>
  <si>
    <t>KONOPKA</t>
  </si>
  <si>
    <t>CECILIA</t>
  </si>
  <si>
    <t>VELA-CASTRO</t>
  </si>
  <si>
    <t>CHRIS</t>
  </si>
  <si>
    <t>BLISS</t>
  </si>
  <si>
    <t>STEPHEN</t>
  </si>
  <si>
    <t>HALE</t>
  </si>
  <si>
    <t>UHC Medicare Advantage HMO</t>
  </si>
  <si>
    <t>DOLORES</t>
  </si>
  <si>
    <t>LEON</t>
  </si>
  <si>
    <t>UHC Medicare Advantage PPO Plan F</t>
  </si>
  <si>
    <t>LEO</t>
  </si>
  <si>
    <t>REALIVASQUEZ</t>
  </si>
  <si>
    <t>BARRY</t>
  </si>
  <si>
    <t>SAGOUSPE</t>
  </si>
  <si>
    <t>RICO</t>
  </si>
  <si>
    <t>BISETTI</t>
  </si>
  <si>
    <t>SANDRA</t>
  </si>
  <si>
    <t>FAUX</t>
  </si>
  <si>
    <t>KAREN</t>
  </si>
  <si>
    <t>SORRELS</t>
  </si>
  <si>
    <t>DAVID</t>
  </si>
  <si>
    <t>SCHWARZ</t>
  </si>
  <si>
    <t>RICHARD</t>
  </si>
  <si>
    <t>ESCHAGARY</t>
  </si>
  <si>
    <t>MICHELLE</t>
  </si>
  <si>
    <t>MANOOGIAN</t>
  </si>
  <si>
    <t>OLIVER</t>
  </si>
  <si>
    <t>MORET</t>
  </si>
  <si>
    <t>ALFRED</t>
  </si>
  <si>
    <t>SANCHEZ</t>
  </si>
  <si>
    <t>ROBERT</t>
  </si>
  <si>
    <t>CABRERA</t>
  </si>
  <si>
    <t>ELVIA</t>
  </si>
  <si>
    <t>REYNOSO</t>
  </si>
  <si>
    <t>OLGA</t>
  </si>
  <si>
    <t>MADERA-MEZA</t>
  </si>
  <si>
    <t>FOLLOWELL</t>
  </si>
  <si>
    <t>DAHMS</t>
  </si>
  <si>
    <t>WILLIAM</t>
  </si>
  <si>
    <t>BARTELD</t>
  </si>
  <si>
    <t>KATHLEEN</t>
  </si>
  <si>
    <t>BERTHA</t>
  </si>
  <si>
    <t>MEJIA</t>
  </si>
  <si>
    <t>FRANKIE</t>
  </si>
  <si>
    <t>CONTRERAS</t>
  </si>
  <si>
    <t>RAUL</t>
  </si>
  <si>
    <t>MARTINEZ</t>
  </si>
  <si>
    <t>REGINA</t>
  </si>
  <si>
    <t>BRIGHT</t>
  </si>
  <si>
    <t>ANDERSON</t>
  </si>
  <si>
    <t>LARRY</t>
  </si>
  <si>
    <t>POWELL</t>
  </si>
  <si>
    <t>JEWETT</t>
  </si>
  <si>
    <t>PAMELA</t>
  </si>
  <si>
    <t>GERMANY</t>
  </si>
  <si>
    <t>DOMINGO</t>
  </si>
  <si>
    <t>ROMERO</t>
  </si>
  <si>
    <t>CARR</t>
  </si>
  <si>
    <t>RONALD</t>
  </si>
  <si>
    <t>CICONE</t>
  </si>
  <si>
    <t>PATRICK</t>
  </si>
  <si>
    <t>ELDRIDGE</t>
  </si>
  <si>
    <t>ROBERTO</t>
  </si>
  <si>
    <t>YSAAC JR</t>
  </si>
  <si>
    <t>ALICE</t>
  </si>
  <si>
    <t>JIMENEZ</t>
  </si>
  <si>
    <t>CARMEN</t>
  </si>
  <si>
    <t>RUDSHAGEN</t>
  </si>
  <si>
    <t>THEODORE</t>
  </si>
  <si>
    <t>BODWELL</t>
  </si>
  <si>
    <t>JOHN</t>
  </si>
  <si>
    <t>KELLEY</t>
  </si>
  <si>
    <t>DENNIS</t>
  </si>
  <si>
    <t>PHIPPS</t>
  </si>
  <si>
    <t>HECTOR</t>
  </si>
  <si>
    <t>PAROCUA</t>
  </si>
  <si>
    <t>DONALD</t>
  </si>
  <si>
    <t>D'AMICO</t>
  </si>
  <si>
    <t>ROBERTSON</t>
  </si>
  <si>
    <t>MICHAEL</t>
  </si>
  <si>
    <t>ROCKE</t>
  </si>
  <si>
    <t>CATHERINE</t>
  </si>
  <si>
    <t>EARNEST</t>
  </si>
  <si>
    <t>HEREDIA</t>
  </si>
  <si>
    <t>AGNES</t>
  </si>
  <si>
    <t>KIM</t>
  </si>
  <si>
    <t>TOBY</t>
  </si>
  <si>
    <t>GILLARD</t>
  </si>
  <si>
    <t>YOUNG</t>
  </si>
  <si>
    <t>BETH</t>
  </si>
  <si>
    <t>COSTA</t>
  </si>
  <si>
    <t>KENNETH</t>
  </si>
  <si>
    <t>STEELMAN</t>
  </si>
  <si>
    <t>JUAN</t>
  </si>
  <si>
    <t>SEGOVIA</t>
  </si>
  <si>
    <t>SEERS</t>
  </si>
  <si>
    <t>MARIA JESUSA</t>
  </si>
  <si>
    <t>TRINIDAD</t>
  </si>
  <si>
    <t>VICTOR</t>
  </si>
  <si>
    <t>ZAURA</t>
  </si>
  <si>
    <t>WRIGHT</t>
  </si>
  <si>
    <t>PHILLIP</t>
  </si>
  <si>
    <t>JENKS</t>
  </si>
  <si>
    <t>DANIEL</t>
  </si>
  <si>
    <t>GLENN</t>
  </si>
  <si>
    <t>INOHARA</t>
  </si>
  <si>
    <t>SHARON</t>
  </si>
  <si>
    <t>RUMSEY</t>
  </si>
  <si>
    <t>JOANNE</t>
  </si>
  <si>
    <t>FLOWERS</t>
  </si>
  <si>
    <t>Waive</t>
  </si>
  <si>
    <t>RUBIN</t>
  </si>
  <si>
    <t>TAMMY</t>
  </si>
  <si>
    <t>GODOY</t>
  </si>
  <si>
    <t>KOELLE</t>
  </si>
  <si>
    <t>MARIA</t>
  </si>
  <si>
    <t>MEDRANO</t>
  </si>
  <si>
    <t>KOSKIE</t>
  </si>
  <si>
    <t>HODNETT</t>
  </si>
  <si>
    <t>SEELEY</t>
  </si>
  <si>
    <t>SPASARO</t>
  </si>
  <si>
    <t>ALBERTO</t>
  </si>
  <si>
    <t>ABREU</t>
  </si>
  <si>
    <t>ZAMORA</t>
  </si>
  <si>
    <t>MARK</t>
  </si>
  <si>
    <t>ROBERGE</t>
  </si>
  <si>
    <t>HOYMOND</t>
  </si>
  <si>
    <t>LOUIE</t>
  </si>
  <si>
    <t>SNELL</t>
  </si>
  <si>
    <t>BRUCE</t>
  </si>
  <si>
    <t>ELLIS</t>
  </si>
  <si>
    <t>SHEA</t>
  </si>
  <si>
    <t>RANDALL</t>
  </si>
  <si>
    <t>LITTLEFIELD</t>
  </si>
  <si>
    <t>GREFSRUD</t>
  </si>
  <si>
    <t>SUSAN</t>
  </si>
  <si>
    <t>CROCKETT</t>
  </si>
  <si>
    <t>CHERYL</t>
  </si>
  <si>
    <t>SHEPHERD</t>
  </si>
  <si>
    <t>ERNEST</t>
  </si>
  <si>
    <t>PADGETT</t>
  </si>
  <si>
    <t>NARETH</t>
  </si>
  <si>
    <t>UNG</t>
  </si>
  <si>
    <t>LELA</t>
  </si>
  <si>
    <t>MANNING</t>
  </si>
  <si>
    <t>SAVERY</t>
  </si>
  <si>
    <t>LANA</t>
  </si>
  <si>
    <t>RADCHENKO</t>
  </si>
  <si>
    <t>HOWARD</t>
  </si>
  <si>
    <t>SHEILA</t>
  </si>
  <si>
    <t>LIGHTSEY</t>
  </si>
  <si>
    <t>EVANS</t>
  </si>
  <si>
    <t>DEMARCO</t>
  </si>
  <si>
    <t>STEVEN</t>
  </si>
  <si>
    <t>GAUTSCHY</t>
  </si>
  <si>
    <t>JEFFREY</t>
  </si>
  <si>
    <t>MUFFLEY</t>
  </si>
  <si>
    <t>GLEN</t>
  </si>
  <si>
    <t>BREED</t>
  </si>
  <si>
    <t>BONNIE</t>
  </si>
  <si>
    <t>BAILEY</t>
  </si>
  <si>
    <t>TERRI</t>
  </si>
  <si>
    <t>PINKIE</t>
  </si>
  <si>
    <t>LILIA</t>
  </si>
  <si>
    <t>VILLARREAL</t>
  </si>
  <si>
    <t>EDWARD</t>
  </si>
  <si>
    <t>DEAN</t>
  </si>
  <si>
    <t>HOOEY</t>
  </si>
  <si>
    <t>DIANE</t>
  </si>
  <si>
    <t>VERRY</t>
  </si>
  <si>
    <t>LARSON</t>
  </si>
  <si>
    <t>BAKER</t>
  </si>
  <si>
    <t>O'DONNELL</t>
  </si>
  <si>
    <t>SKURSKI</t>
  </si>
  <si>
    <t>WAYNE</t>
  </si>
  <si>
    <t>WHITE</t>
  </si>
  <si>
    <t>KAKUDA-CARWILE</t>
  </si>
  <si>
    <t>TUCKER</t>
  </si>
  <si>
    <t>MANRY</t>
  </si>
  <si>
    <t>FRITSCH</t>
  </si>
  <si>
    <t>GABRIEL</t>
  </si>
  <si>
    <t>SILVA</t>
  </si>
  <si>
    <t>ANNE</t>
  </si>
  <si>
    <t>ESTRADA</t>
  </si>
  <si>
    <t>HANNAH</t>
  </si>
  <si>
    <t>DEVINE</t>
  </si>
  <si>
    <t>ELOISE</t>
  </si>
  <si>
    <t>REYES</t>
  </si>
  <si>
    <t>DEBORAH</t>
  </si>
  <si>
    <t>BROWN</t>
  </si>
  <si>
    <t>WALTER</t>
  </si>
  <si>
    <t>WHEATON</t>
  </si>
  <si>
    <t>DOZIER</t>
  </si>
  <si>
    <t>MC CLINTOCK</t>
  </si>
  <si>
    <t>FELIPE</t>
  </si>
  <si>
    <t>FERRO MERAZ</t>
  </si>
  <si>
    <t>CHARLES</t>
  </si>
  <si>
    <t>SEE</t>
  </si>
  <si>
    <t>FONG</t>
  </si>
  <si>
    <t>MAYBERRY</t>
  </si>
  <si>
    <t>NAM</t>
  </si>
  <si>
    <t>DINH</t>
  </si>
  <si>
    <t>JACOBS</t>
  </si>
  <si>
    <t>KATHERINE</t>
  </si>
  <si>
    <t>ENGH</t>
  </si>
  <si>
    <t>KINJO</t>
  </si>
  <si>
    <t>JON</t>
  </si>
  <si>
    <t>HILBRICH</t>
  </si>
  <si>
    <t>SNYDER</t>
  </si>
  <si>
    <t>DINA</t>
  </si>
  <si>
    <t>SONORA</t>
  </si>
  <si>
    <t>MARGARET</t>
  </si>
  <si>
    <t>BROOKES</t>
  </si>
  <si>
    <t>BARBARA</t>
  </si>
  <si>
    <t>GUTHRIE</t>
  </si>
  <si>
    <t>SARA</t>
  </si>
  <si>
    <t>FRANKE</t>
  </si>
  <si>
    <t>VERMEULE</t>
  </si>
  <si>
    <t>SCOTT</t>
  </si>
  <si>
    <t>WARNER</t>
  </si>
  <si>
    <t>JAMES</t>
  </si>
  <si>
    <t>SEIFERT</t>
  </si>
  <si>
    <t>GEORGE</t>
  </si>
  <si>
    <t>FLYNN</t>
  </si>
  <si>
    <t>LAUZIER</t>
  </si>
  <si>
    <t>IRMA</t>
  </si>
  <si>
    <t>JAIME</t>
  </si>
  <si>
    <t>BRIAN</t>
  </si>
  <si>
    <t>HENDERSON</t>
  </si>
  <si>
    <t>RASILE</t>
  </si>
  <si>
    <t>FRATAMICO</t>
  </si>
  <si>
    <t>JOSEPH</t>
  </si>
  <si>
    <t>STRUKELJ</t>
  </si>
  <si>
    <t>PAULINE</t>
  </si>
  <si>
    <t>EKLUND</t>
  </si>
  <si>
    <t>LUJAN</t>
  </si>
  <si>
    <t>GRANT</t>
  </si>
  <si>
    <t>FROST</t>
  </si>
  <si>
    <t>NICK</t>
  </si>
  <si>
    <t>DORSANO</t>
  </si>
  <si>
    <t>GUSTAVO</t>
  </si>
  <si>
    <t>NEWTON</t>
  </si>
  <si>
    <t>GALBREATH</t>
  </si>
  <si>
    <t>SMITH</t>
  </si>
  <si>
    <t>MORENO</t>
  </si>
  <si>
    <t>PAULA</t>
  </si>
  <si>
    <t>HAMMER</t>
  </si>
  <si>
    <t>TORRES</t>
  </si>
  <si>
    <t>GOMEZ</t>
  </si>
  <si>
    <t>LORINDA</t>
  </si>
  <si>
    <t>HACKETT</t>
  </si>
  <si>
    <t>LAWRENCE</t>
  </si>
  <si>
    <t>MCCARTY</t>
  </si>
  <si>
    <t>ANNETTE</t>
  </si>
  <si>
    <t>ROLDAN</t>
  </si>
  <si>
    <t>STEVE</t>
  </si>
  <si>
    <t>BOYD</t>
  </si>
  <si>
    <t>EmployeeID</t>
  </si>
  <si>
    <t>TaxIDNumber</t>
  </si>
  <si>
    <t>FirstName</t>
  </si>
  <si>
    <t>LastName</t>
  </si>
  <si>
    <t>ShortDesc</t>
  </si>
  <si>
    <t>EffectiveDate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</si>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</sst>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3BC9-A05C-4B95-AFA6-A64F843E5AD4}">
  <sheetPr codeName="Sheet1" filterMode="1"/>
  <dimension ref="A1:L599"/>
  <sheetViews>
    <sheetView topLeftCell="A487" workbookViewId="0">
      <selection activeCell="A542" sqref="A542"/>
    </sheetView>
  </sheetViews>
  <sheetFormatPr defaultRowHeight="13.2" x14ac:dyDescent="0.25"/>
  <cols>
    <col min="3" max="3" width="13.44140625" style="3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  <c r="C2" s="3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hidden="1" x14ac:dyDescent="0.25">
      <c r="A3" t="s">
        <v>13</v>
      </c>
      <c r="B3" t="s">
        <v>14</v>
      </c>
      <c r="C3">
        <v>59013</v>
      </c>
      <c r="D3" t="s">
        <v>15</v>
      </c>
      <c r="E3">
        <v>2022</v>
      </c>
      <c r="F3" t="s">
        <v>16</v>
      </c>
      <c r="G3" t="s">
        <v>17</v>
      </c>
      <c r="H3" t="s">
        <v>17</v>
      </c>
      <c r="I3" s="1">
        <v>44653</v>
      </c>
      <c r="J3" t="s">
        <v>17</v>
      </c>
      <c r="K3" t="s">
        <v>18</v>
      </c>
      <c r="L3" t="s">
        <v>19</v>
      </c>
    </row>
    <row r="4" spans="1:12" x14ac:dyDescent="0.25">
      <c r="A4" t="s">
        <v>20</v>
      </c>
      <c r="B4" t="s">
        <v>21</v>
      </c>
      <c r="C4" s="3">
        <v>226</v>
      </c>
      <c r="D4" t="s">
        <v>22</v>
      </c>
      <c r="E4">
        <v>2022</v>
      </c>
      <c r="F4" t="s">
        <v>16</v>
      </c>
      <c r="G4" t="s">
        <v>17</v>
      </c>
      <c r="H4" t="s">
        <v>17</v>
      </c>
      <c r="I4" s="1">
        <v>44653</v>
      </c>
      <c r="J4" t="s">
        <v>17</v>
      </c>
      <c r="K4" t="s">
        <v>23</v>
      </c>
      <c r="L4" t="s">
        <v>24</v>
      </c>
    </row>
    <row r="5" spans="1:12" hidden="1" x14ac:dyDescent="0.25">
      <c r="A5" t="s">
        <v>25</v>
      </c>
      <c r="B5" t="s">
        <v>26</v>
      </c>
      <c r="C5">
        <v>319</v>
      </c>
      <c r="D5" t="s">
        <v>27</v>
      </c>
      <c r="E5">
        <v>2022</v>
      </c>
      <c r="F5" t="s">
        <v>16</v>
      </c>
      <c r="G5" t="s">
        <v>17</v>
      </c>
      <c r="H5" t="s">
        <v>17</v>
      </c>
      <c r="I5" s="1">
        <v>44653</v>
      </c>
      <c r="J5" t="s">
        <v>17</v>
      </c>
      <c r="K5" t="s">
        <v>28</v>
      </c>
      <c r="L5" t="s">
        <v>19</v>
      </c>
    </row>
    <row r="6" spans="1:12" x14ac:dyDescent="0.25">
      <c r="A6" t="s">
        <v>29</v>
      </c>
      <c r="B6" t="s">
        <v>30</v>
      </c>
      <c r="C6" s="3">
        <v>25409</v>
      </c>
      <c r="D6" t="s">
        <v>15</v>
      </c>
      <c r="E6">
        <v>2022</v>
      </c>
      <c r="F6" t="s">
        <v>16</v>
      </c>
      <c r="G6" t="s">
        <v>17</v>
      </c>
      <c r="H6" t="s">
        <v>17</v>
      </c>
      <c r="I6" s="1">
        <v>44653</v>
      </c>
      <c r="J6" t="s">
        <v>17</v>
      </c>
      <c r="K6" t="s">
        <v>28</v>
      </c>
      <c r="L6" t="s">
        <v>31</v>
      </c>
    </row>
    <row r="7" spans="1:12" x14ac:dyDescent="0.25">
      <c r="A7" t="s">
        <v>32</v>
      </c>
      <c r="B7" t="s">
        <v>33</v>
      </c>
      <c r="C7" s="3">
        <v>61820</v>
      </c>
      <c r="D7" t="s">
        <v>15</v>
      </c>
      <c r="E7">
        <v>2022</v>
      </c>
      <c r="F7" t="s">
        <v>16</v>
      </c>
      <c r="G7" t="s">
        <v>17</v>
      </c>
      <c r="H7" t="s">
        <v>17</v>
      </c>
      <c r="I7" s="1">
        <v>44653</v>
      </c>
      <c r="J7" t="s">
        <v>17</v>
      </c>
      <c r="K7" t="s">
        <v>34</v>
      </c>
      <c r="L7" t="s">
        <v>31</v>
      </c>
    </row>
    <row r="8" spans="1:12" hidden="1" x14ac:dyDescent="0.25">
      <c r="A8" t="s">
        <v>35</v>
      </c>
      <c r="B8" t="s">
        <v>36</v>
      </c>
      <c r="C8">
        <v>1540</v>
      </c>
      <c r="D8" t="s">
        <v>27</v>
      </c>
      <c r="E8">
        <v>2022</v>
      </c>
      <c r="F8" t="s">
        <v>16</v>
      </c>
      <c r="G8" t="s">
        <v>17</v>
      </c>
      <c r="H8" t="s">
        <v>17</v>
      </c>
      <c r="I8" s="1">
        <v>44653</v>
      </c>
      <c r="J8" t="s">
        <v>17</v>
      </c>
      <c r="K8" t="s">
        <v>37</v>
      </c>
      <c r="L8" t="s">
        <v>19</v>
      </c>
    </row>
    <row r="9" spans="1:12" hidden="1" x14ac:dyDescent="0.25">
      <c r="A9" t="s">
        <v>38</v>
      </c>
      <c r="B9" t="s">
        <v>39</v>
      </c>
      <c r="C9">
        <v>39973</v>
      </c>
      <c r="D9" t="s">
        <v>15</v>
      </c>
      <c r="E9">
        <v>2022</v>
      </c>
      <c r="F9" t="s">
        <v>16</v>
      </c>
      <c r="G9" t="s">
        <v>17</v>
      </c>
      <c r="H9" t="s">
        <v>17</v>
      </c>
      <c r="I9" s="1">
        <v>44653</v>
      </c>
      <c r="J9" t="s">
        <v>17</v>
      </c>
      <c r="K9" t="s">
        <v>18</v>
      </c>
      <c r="L9" t="s">
        <v>19</v>
      </c>
    </row>
    <row r="10" spans="1:12" x14ac:dyDescent="0.25">
      <c r="A10" t="s">
        <v>40</v>
      </c>
      <c r="B10" t="s">
        <v>41</v>
      </c>
      <c r="C10" s="3">
        <v>10079</v>
      </c>
      <c r="D10" t="s">
        <v>27</v>
      </c>
      <c r="E10">
        <v>2022</v>
      </c>
      <c r="F10" t="s">
        <v>16</v>
      </c>
      <c r="G10" t="s">
        <v>17</v>
      </c>
      <c r="H10" t="s">
        <v>17</v>
      </c>
      <c r="I10" s="1">
        <v>44653</v>
      </c>
      <c r="J10" t="s">
        <v>17</v>
      </c>
      <c r="K10" t="s">
        <v>42</v>
      </c>
      <c r="L10" t="s">
        <v>24</v>
      </c>
    </row>
    <row r="11" spans="1:12" x14ac:dyDescent="0.25">
      <c r="A11" t="s">
        <v>40</v>
      </c>
      <c r="B11" t="s">
        <v>43</v>
      </c>
      <c r="C11" s="3">
        <v>28803</v>
      </c>
      <c r="D11" t="s">
        <v>15</v>
      </c>
      <c r="E11">
        <v>2022</v>
      </c>
      <c r="F11" t="s">
        <v>16</v>
      </c>
      <c r="G11" t="s">
        <v>17</v>
      </c>
      <c r="H11" t="s">
        <v>17</v>
      </c>
      <c r="I11" s="1">
        <v>44653</v>
      </c>
      <c r="J11" t="s">
        <v>17</v>
      </c>
      <c r="K11" t="s">
        <v>44</v>
      </c>
      <c r="L11" t="s">
        <v>24</v>
      </c>
    </row>
    <row r="12" spans="1:12" x14ac:dyDescent="0.25">
      <c r="A12" t="s">
        <v>40</v>
      </c>
      <c r="B12" t="s">
        <v>45</v>
      </c>
      <c r="C12" s="3">
        <v>37558</v>
      </c>
      <c r="D12" t="s">
        <v>15</v>
      </c>
      <c r="E12">
        <v>2022</v>
      </c>
      <c r="F12" t="s">
        <v>16</v>
      </c>
      <c r="G12" t="s">
        <v>17</v>
      </c>
      <c r="H12" t="s">
        <v>17</v>
      </c>
      <c r="I12" s="1">
        <v>44653</v>
      </c>
      <c r="J12" t="s">
        <v>17</v>
      </c>
      <c r="K12" t="s">
        <v>23</v>
      </c>
      <c r="L12" t="s">
        <v>46</v>
      </c>
    </row>
    <row r="13" spans="1:12" hidden="1" x14ac:dyDescent="0.25">
      <c r="A13" t="s">
        <v>47</v>
      </c>
      <c r="B13" t="s">
        <v>48</v>
      </c>
      <c r="C13">
        <v>3037</v>
      </c>
      <c r="D13" t="s">
        <v>27</v>
      </c>
      <c r="E13">
        <v>2022</v>
      </c>
      <c r="F13" t="s">
        <v>16</v>
      </c>
      <c r="G13" t="s">
        <v>17</v>
      </c>
      <c r="H13" t="s">
        <v>17</v>
      </c>
      <c r="I13" s="1">
        <v>44653</v>
      </c>
      <c r="J13" t="s">
        <v>17</v>
      </c>
      <c r="K13" t="s">
        <v>23</v>
      </c>
      <c r="L13" t="s">
        <v>19</v>
      </c>
    </row>
    <row r="14" spans="1:12" hidden="1" x14ac:dyDescent="0.25">
      <c r="A14" t="s">
        <v>49</v>
      </c>
      <c r="B14" t="s">
        <v>50</v>
      </c>
      <c r="C14">
        <v>51794</v>
      </c>
      <c r="D14" t="s">
        <v>15</v>
      </c>
      <c r="E14">
        <v>2022</v>
      </c>
      <c r="F14" t="s">
        <v>16</v>
      </c>
      <c r="G14" t="s">
        <v>17</v>
      </c>
      <c r="H14" t="s">
        <v>17</v>
      </c>
      <c r="I14" s="1">
        <v>44653</v>
      </c>
      <c r="J14" t="s">
        <v>17</v>
      </c>
      <c r="K14" t="s">
        <v>51</v>
      </c>
      <c r="L14" t="s">
        <v>19</v>
      </c>
    </row>
    <row r="15" spans="1:12" hidden="1" x14ac:dyDescent="0.25">
      <c r="A15" t="s">
        <v>52</v>
      </c>
      <c r="B15" t="s">
        <v>53</v>
      </c>
      <c r="C15">
        <v>57236</v>
      </c>
      <c r="D15" t="s">
        <v>15</v>
      </c>
      <c r="E15">
        <v>2022</v>
      </c>
      <c r="F15" t="s">
        <v>16</v>
      </c>
      <c r="G15" t="s">
        <v>17</v>
      </c>
      <c r="H15" t="s">
        <v>17</v>
      </c>
      <c r="I15" s="1">
        <v>44653</v>
      </c>
      <c r="J15" t="s">
        <v>17</v>
      </c>
      <c r="K15" t="s">
        <v>54</v>
      </c>
      <c r="L15" t="s">
        <v>19</v>
      </c>
    </row>
    <row r="16" spans="1:12" x14ac:dyDescent="0.25">
      <c r="A16" t="s">
        <v>55</v>
      </c>
      <c r="B16" t="s">
        <v>56</v>
      </c>
      <c r="C16" s="3">
        <v>25698</v>
      </c>
      <c r="D16" t="s">
        <v>15</v>
      </c>
      <c r="E16">
        <v>2022</v>
      </c>
      <c r="F16" t="s">
        <v>16</v>
      </c>
      <c r="G16" t="s">
        <v>17</v>
      </c>
      <c r="H16" t="s">
        <v>17</v>
      </c>
      <c r="I16" s="1">
        <v>44653</v>
      </c>
      <c r="J16" t="s">
        <v>17</v>
      </c>
      <c r="K16" t="s">
        <v>57</v>
      </c>
      <c r="L16" t="s">
        <v>24</v>
      </c>
    </row>
    <row r="17" spans="1:12" hidden="1" x14ac:dyDescent="0.25">
      <c r="A17" t="s">
        <v>58</v>
      </c>
      <c r="B17" t="s">
        <v>59</v>
      </c>
      <c r="C17">
        <v>45486</v>
      </c>
      <c r="D17" t="s">
        <v>15</v>
      </c>
      <c r="E17">
        <v>2022</v>
      </c>
      <c r="F17" t="s">
        <v>16</v>
      </c>
      <c r="G17" t="s">
        <v>17</v>
      </c>
      <c r="H17" t="s">
        <v>17</v>
      </c>
      <c r="I17" s="1">
        <v>44653</v>
      </c>
      <c r="J17" t="s">
        <v>17</v>
      </c>
      <c r="K17" t="s">
        <v>60</v>
      </c>
      <c r="L17" t="s">
        <v>19</v>
      </c>
    </row>
    <row r="18" spans="1:12" x14ac:dyDescent="0.25">
      <c r="A18" t="s">
        <v>61</v>
      </c>
      <c r="B18" t="s">
        <v>62</v>
      </c>
      <c r="C18" s="3">
        <v>41823</v>
      </c>
      <c r="D18" t="s">
        <v>15</v>
      </c>
      <c r="E18">
        <v>2022</v>
      </c>
      <c r="F18" t="s">
        <v>16</v>
      </c>
      <c r="G18" t="s">
        <v>17</v>
      </c>
      <c r="H18" t="s">
        <v>17</v>
      </c>
      <c r="I18" s="1">
        <v>44653</v>
      </c>
      <c r="J18" t="s">
        <v>17</v>
      </c>
      <c r="K18" t="s">
        <v>63</v>
      </c>
      <c r="L18" t="s">
        <v>31</v>
      </c>
    </row>
    <row r="19" spans="1:12" hidden="1" x14ac:dyDescent="0.25">
      <c r="A19" t="s">
        <v>64</v>
      </c>
      <c r="B19" t="s">
        <v>65</v>
      </c>
      <c r="C19">
        <v>33125</v>
      </c>
      <c r="D19" t="s">
        <v>15</v>
      </c>
      <c r="E19">
        <v>2022</v>
      </c>
      <c r="F19" t="s">
        <v>16</v>
      </c>
      <c r="G19" t="s">
        <v>17</v>
      </c>
      <c r="H19" t="s">
        <v>17</v>
      </c>
      <c r="I19" s="1">
        <v>44653</v>
      </c>
      <c r="J19" t="s">
        <v>17</v>
      </c>
      <c r="K19" t="s">
        <v>28</v>
      </c>
      <c r="L19" t="s">
        <v>19</v>
      </c>
    </row>
    <row r="20" spans="1:12" hidden="1" x14ac:dyDescent="0.25">
      <c r="A20" t="s">
        <v>66</v>
      </c>
      <c r="B20" t="s">
        <v>67</v>
      </c>
      <c r="C20">
        <v>3233</v>
      </c>
      <c r="D20" t="s">
        <v>27</v>
      </c>
      <c r="E20">
        <v>2022</v>
      </c>
      <c r="F20" t="s">
        <v>16</v>
      </c>
      <c r="G20" t="s">
        <v>17</v>
      </c>
      <c r="H20" t="s">
        <v>17</v>
      </c>
      <c r="I20" s="1">
        <v>44653</v>
      </c>
      <c r="J20" t="s">
        <v>17</v>
      </c>
      <c r="K20" t="s">
        <v>68</v>
      </c>
      <c r="L20" t="s">
        <v>19</v>
      </c>
    </row>
    <row r="21" spans="1:12" x14ac:dyDescent="0.25">
      <c r="A21" t="s">
        <v>69</v>
      </c>
      <c r="B21" t="s">
        <v>70</v>
      </c>
      <c r="C21" s="3">
        <v>3274</v>
      </c>
      <c r="D21" t="s">
        <v>27</v>
      </c>
      <c r="E21">
        <v>2022</v>
      </c>
      <c r="F21" t="s">
        <v>16</v>
      </c>
      <c r="G21" t="s">
        <v>17</v>
      </c>
      <c r="H21" t="s">
        <v>17</v>
      </c>
      <c r="I21" s="1">
        <v>44653</v>
      </c>
      <c r="J21" t="s">
        <v>17</v>
      </c>
      <c r="K21" t="s">
        <v>28</v>
      </c>
      <c r="L21" t="s">
        <v>71</v>
      </c>
    </row>
    <row r="22" spans="1:12" hidden="1" x14ac:dyDescent="0.25">
      <c r="A22" t="s">
        <v>72</v>
      </c>
      <c r="B22" t="s">
        <v>73</v>
      </c>
      <c r="C22">
        <v>16205</v>
      </c>
      <c r="D22" t="s">
        <v>27</v>
      </c>
      <c r="E22">
        <v>2022</v>
      </c>
      <c r="F22" t="s">
        <v>16</v>
      </c>
      <c r="G22" t="s">
        <v>17</v>
      </c>
      <c r="H22" t="s">
        <v>17</v>
      </c>
      <c r="I22" s="1">
        <v>44653</v>
      </c>
      <c r="J22" t="s">
        <v>17</v>
      </c>
      <c r="K22" t="s">
        <v>23</v>
      </c>
      <c r="L22" t="s">
        <v>19</v>
      </c>
    </row>
    <row r="23" spans="1:12" x14ac:dyDescent="0.25">
      <c r="A23" t="s">
        <v>72</v>
      </c>
      <c r="B23" t="s">
        <v>74</v>
      </c>
      <c r="C23" s="3">
        <v>3657</v>
      </c>
      <c r="D23" t="s">
        <v>27</v>
      </c>
      <c r="E23">
        <v>2022</v>
      </c>
      <c r="F23" t="s">
        <v>16</v>
      </c>
      <c r="G23" t="s">
        <v>17</v>
      </c>
      <c r="H23" t="s">
        <v>17</v>
      </c>
      <c r="I23" s="1">
        <v>44653</v>
      </c>
      <c r="J23" t="s">
        <v>17</v>
      </c>
      <c r="K23" t="s">
        <v>75</v>
      </c>
      <c r="L23" t="s">
        <v>24</v>
      </c>
    </row>
    <row r="24" spans="1:12" x14ac:dyDescent="0.25">
      <c r="A24" t="s">
        <v>72</v>
      </c>
      <c r="B24" t="s">
        <v>76</v>
      </c>
      <c r="C24" s="3">
        <v>49547</v>
      </c>
      <c r="D24" t="s">
        <v>15</v>
      </c>
      <c r="E24">
        <v>2022</v>
      </c>
      <c r="F24" t="s">
        <v>16</v>
      </c>
      <c r="G24" t="s">
        <v>17</v>
      </c>
      <c r="H24" t="s">
        <v>17</v>
      </c>
      <c r="I24" s="1">
        <v>44653</v>
      </c>
      <c r="J24" t="s">
        <v>17</v>
      </c>
      <c r="K24" t="s">
        <v>60</v>
      </c>
      <c r="L24" t="s">
        <v>24</v>
      </c>
    </row>
    <row r="25" spans="1:12" hidden="1" x14ac:dyDescent="0.25">
      <c r="A25" t="s">
        <v>72</v>
      </c>
      <c r="B25" t="s">
        <v>77</v>
      </c>
      <c r="C25">
        <v>52768</v>
      </c>
      <c r="D25" t="s">
        <v>15</v>
      </c>
      <c r="E25">
        <v>2022</v>
      </c>
      <c r="F25" t="s">
        <v>16</v>
      </c>
      <c r="G25" t="s">
        <v>17</v>
      </c>
      <c r="H25" t="s">
        <v>17</v>
      </c>
      <c r="I25" s="1">
        <v>44653</v>
      </c>
      <c r="J25" t="s">
        <v>17</v>
      </c>
      <c r="K25" t="s">
        <v>78</v>
      </c>
      <c r="L25" t="s">
        <v>19</v>
      </c>
    </row>
    <row r="26" spans="1:12" hidden="1" x14ac:dyDescent="0.25">
      <c r="A26" t="s">
        <v>79</v>
      </c>
      <c r="B26" t="s">
        <v>80</v>
      </c>
      <c r="C26">
        <v>26639</v>
      </c>
      <c r="D26" t="s">
        <v>15</v>
      </c>
      <c r="E26">
        <v>2022</v>
      </c>
      <c r="F26" t="s">
        <v>16</v>
      </c>
      <c r="G26" t="s">
        <v>17</v>
      </c>
      <c r="H26" t="s">
        <v>17</v>
      </c>
      <c r="I26" s="1">
        <v>44653</v>
      </c>
      <c r="J26" t="s">
        <v>17</v>
      </c>
      <c r="K26" t="s">
        <v>18</v>
      </c>
      <c r="L26" t="s">
        <v>19</v>
      </c>
    </row>
    <row r="27" spans="1:12" x14ac:dyDescent="0.25">
      <c r="A27" t="s">
        <v>81</v>
      </c>
      <c r="B27" t="s">
        <v>82</v>
      </c>
      <c r="C27" s="3">
        <v>85405</v>
      </c>
      <c r="D27" t="s">
        <v>27</v>
      </c>
      <c r="E27">
        <v>2022</v>
      </c>
      <c r="F27" t="s">
        <v>16</v>
      </c>
      <c r="G27" t="s">
        <v>17</v>
      </c>
      <c r="H27" t="s">
        <v>17</v>
      </c>
      <c r="I27" s="1">
        <v>44653</v>
      </c>
      <c r="J27" t="s">
        <v>17</v>
      </c>
      <c r="K27" t="s">
        <v>28</v>
      </c>
      <c r="L27" t="s">
        <v>71</v>
      </c>
    </row>
    <row r="28" spans="1:12" hidden="1" x14ac:dyDescent="0.25">
      <c r="A28" t="s">
        <v>83</v>
      </c>
      <c r="B28" t="s">
        <v>84</v>
      </c>
      <c r="C28">
        <v>4729</v>
      </c>
      <c r="D28" t="s">
        <v>27</v>
      </c>
      <c r="E28">
        <v>2022</v>
      </c>
      <c r="F28" t="s">
        <v>16</v>
      </c>
      <c r="G28" t="s">
        <v>17</v>
      </c>
      <c r="H28" t="s">
        <v>17</v>
      </c>
      <c r="I28" s="1">
        <v>44653</v>
      </c>
      <c r="J28" t="s">
        <v>17</v>
      </c>
      <c r="K28" t="s">
        <v>85</v>
      </c>
      <c r="L28" t="s">
        <v>19</v>
      </c>
    </row>
    <row r="29" spans="1:12" hidden="1" x14ac:dyDescent="0.25">
      <c r="A29" t="s">
        <v>86</v>
      </c>
      <c r="B29" t="s">
        <v>59</v>
      </c>
      <c r="C29">
        <v>36933</v>
      </c>
      <c r="D29" t="s">
        <v>15</v>
      </c>
      <c r="E29">
        <v>2022</v>
      </c>
      <c r="F29" t="s">
        <v>16</v>
      </c>
      <c r="G29" t="s">
        <v>17</v>
      </c>
      <c r="H29" t="s">
        <v>17</v>
      </c>
      <c r="I29" s="1">
        <v>44653</v>
      </c>
      <c r="J29" t="s">
        <v>17</v>
      </c>
      <c r="K29" t="s">
        <v>28</v>
      </c>
      <c r="L29" t="s">
        <v>19</v>
      </c>
    </row>
    <row r="30" spans="1:12" x14ac:dyDescent="0.25">
      <c r="A30" t="s">
        <v>87</v>
      </c>
      <c r="B30" t="s">
        <v>88</v>
      </c>
      <c r="C30" s="3">
        <v>28441</v>
      </c>
      <c r="D30" t="s">
        <v>15</v>
      </c>
      <c r="E30">
        <v>2022</v>
      </c>
      <c r="F30" t="s">
        <v>16</v>
      </c>
      <c r="G30" t="s">
        <v>17</v>
      </c>
      <c r="H30" t="s">
        <v>17</v>
      </c>
      <c r="I30" s="1">
        <v>44653</v>
      </c>
      <c r="J30" t="s">
        <v>17</v>
      </c>
      <c r="K30" t="s">
        <v>23</v>
      </c>
      <c r="L30" t="s">
        <v>71</v>
      </c>
    </row>
    <row r="31" spans="1:12" x14ac:dyDescent="0.25">
      <c r="A31" t="s">
        <v>89</v>
      </c>
      <c r="B31" t="s">
        <v>90</v>
      </c>
      <c r="C31" s="3">
        <v>5495</v>
      </c>
      <c r="D31" t="s">
        <v>27</v>
      </c>
      <c r="E31">
        <v>2022</v>
      </c>
      <c r="F31" t="s">
        <v>16</v>
      </c>
      <c r="G31" t="s">
        <v>17</v>
      </c>
      <c r="H31" t="s">
        <v>17</v>
      </c>
      <c r="I31" s="1">
        <v>44653</v>
      </c>
      <c r="J31" t="s">
        <v>17</v>
      </c>
      <c r="K31" t="s">
        <v>42</v>
      </c>
      <c r="L31" t="s">
        <v>24</v>
      </c>
    </row>
    <row r="32" spans="1:12" x14ac:dyDescent="0.25">
      <c r="A32" t="s">
        <v>91</v>
      </c>
      <c r="B32" t="s">
        <v>92</v>
      </c>
      <c r="C32" s="3">
        <v>36014</v>
      </c>
      <c r="D32" t="s">
        <v>15</v>
      </c>
      <c r="E32">
        <v>2022</v>
      </c>
      <c r="F32" t="s">
        <v>16</v>
      </c>
      <c r="G32" t="s">
        <v>17</v>
      </c>
      <c r="H32" t="s">
        <v>17</v>
      </c>
      <c r="I32" s="1">
        <v>44653</v>
      </c>
      <c r="J32" t="s">
        <v>17</v>
      </c>
      <c r="K32" t="s">
        <v>93</v>
      </c>
      <c r="L32" t="s">
        <v>24</v>
      </c>
    </row>
    <row r="33" spans="1:12" hidden="1" x14ac:dyDescent="0.25">
      <c r="A33" t="s">
        <v>94</v>
      </c>
      <c r="B33" t="s">
        <v>95</v>
      </c>
      <c r="C33">
        <v>61373</v>
      </c>
      <c r="D33" t="s">
        <v>27</v>
      </c>
      <c r="E33">
        <v>2022</v>
      </c>
      <c r="F33" t="s">
        <v>16</v>
      </c>
      <c r="G33" t="s">
        <v>17</v>
      </c>
      <c r="H33" t="s">
        <v>17</v>
      </c>
      <c r="I33" s="1">
        <v>44653</v>
      </c>
      <c r="J33" t="s">
        <v>17</v>
      </c>
      <c r="K33" t="s">
        <v>96</v>
      </c>
      <c r="L33" t="s">
        <v>19</v>
      </c>
    </row>
    <row r="34" spans="1:12" hidden="1" x14ac:dyDescent="0.25">
      <c r="A34" t="s">
        <v>97</v>
      </c>
      <c r="B34" t="s">
        <v>43</v>
      </c>
      <c r="C34">
        <v>36939</v>
      </c>
      <c r="D34" t="s">
        <v>15</v>
      </c>
      <c r="E34">
        <v>2022</v>
      </c>
      <c r="F34" t="s">
        <v>16</v>
      </c>
      <c r="G34" t="s">
        <v>17</v>
      </c>
      <c r="H34" t="s">
        <v>17</v>
      </c>
      <c r="I34" s="1">
        <v>44653</v>
      </c>
      <c r="J34" t="s">
        <v>17</v>
      </c>
      <c r="K34" t="s">
        <v>63</v>
      </c>
      <c r="L34" t="s">
        <v>19</v>
      </c>
    </row>
    <row r="35" spans="1:12" x14ac:dyDescent="0.25">
      <c r="A35" t="s">
        <v>98</v>
      </c>
      <c r="B35" t="s">
        <v>99</v>
      </c>
      <c r="C35" s="3">
        <v>99862</v>
      </c>
      <c r="D35" t="s">
        <v>100</v>
      </c>
      <c r="E35">
        <v>2022</v>
      </c>
      <c r="F35" t="s">
        <v>16</v>
      </c>
      <c r="G35" t="s">
        <v>17</v>
      </c>
      <c r="H35" t="s">
        <v>17</v>
      </c>
      <c r="I35" s="1">
        <v>44653</v>
      </c>
      <c r="J35" t="s">
        <v>17</v>
      </c>
      <c r="K35" t="s">
        <v>63</v>
      </c>
      <c r="L35" t="s">
        <v>24</v>
      </c>
    </row>
    <row r="36" spans="1:12" x14ac:dyDescent="0.25">
      <c r="A36" t="s">
        <v>98</v>
      </c>
      <c r="B36" t="s">
        <v>99</v>
      </c>
      <c r="C36" s="3">
        <v>99862</v>
      </c>
      <c r="D36" t="s">
        <v>101</v>
      </c>
      <c r="E36">
        <v>2022</v>
      </c>
      <c r="F36" t="s">
        <v>16</v>
      </c>
      <c r="G36" t="s">
        <v>17</v>
      </c>
      <c r="H36" t="s">
        <v>17</v>
      </c>
      <c r="I36" s="1">
        <v>44653</v>
      </c>
      <c r="J36" t="s">
        <v>17</v>
      </c>
      <c r="K36" t="s">
        <v>63</v>
      </c>
      <c r="L36" t="s">
        <v>24</v>
      </c>
    </row>
    <row r="37" spans="1:12" x14ac:dyDescent="0.25">
      <c r="A37" t="s">
        <v>102</v>
      </c>
      <c r="B37" t="s">
        <v>103</v>
      </c>
      <c r="C37" s="3">
        <v>38749</v>
      </c>
      <c r="D37" t="s">
        <v>15</v>
      </c>
      <c r="E37">
        <v>2022</v>
      </c>
      <c r="F37" t="s">
        <v>16</v>
      </c>
      <c r="G37" t="s">
        <v>17</v>
      </c>
      <c r="H37" t="s">
        <v>17</v>
      </c>
      <c r="I37" s="1">
        <v>44653</v>
      </c>
      <c r="J37" t="s">
        <v>17</v>
      </c>
      <c r="K37" t="s">
        <v>104</v>
      </c>
      <c r="L37" t="s">
        <v>24</v>
      </c>
    </row>
    <row r="38" spans="1:12" x14ac:dyDescent="0.25">
      <c r="A38" t="s">
        <v>105</v>
      </c>
      <c r="B38" t="s">
        <v>106</v>
      </c>
      <c r="C38" s="3">
        <v>6825</v>
      </c>
      <c r="D38" t="s">
        <v>27</v>
      </c>
      <c r="E38">
        <v>2022</v>
      </c>
      <c r="F38" t="s">
        <v>16</v>
      </c>
      <c r="G38" t="s">
        <v>17</v>
      </c>
      <c r="H38" t="s">
        <v>17</v>
      </c>
      <c r="I38" s="1">
        <v>44653</v>
      </c>
      <c r="J38" t="s">
        <v>17</v>
      </c>
      <c r="K38" t="s">
        <v>28</v>
      </c>
      <c r="L38" t="s">
        <v>24</v>
      </c>
    </row>
    <row r="39" spans="1:12" x14ac:dyDescent="0.25">
      <c r="A39" t="s">
        <v>107</v>
      </c>
      <c r="B39" t="s">
        <v>108</v>
      </c>
      <c r="C39" s="3">
        <v>30654</v>
      </c>
      <c r="D39" t="s">
        <v>15</v>
      </c>
      <c r="E39">
        <v>2022</v>
      </c>
      <c r="F39" t="s">
        <v>16</v>
      </c>
      <c r="G39" t="s">
        <v>17</v>
      </c>
      <c r="H39" t="s">
        <v>17</v>
      </c>
      <c r="I39" s="1">
        <v>44653</v>
      </c>
      <c r="J39" t="s">
        <v>17</v>
      </c>
      <c r="K39" t="s">
        <v>109</v>
      </c>
      <c r="L39" t="s">
        <v>31</v>
      </c>
    </row>
    <row r="40" spans="1:12" x14ac:dyDescent="0.25">
      <c r="A40" t="s">
        <v>110</v>
      </c>
      <c r="B40" t="s">
        <v>111</v>
      </c>
      <c r="C40" s="3" t="s">
        <v>112</v>
      </c>
      <c r="D40" t="s">
        <v>113</v>
      </c>
      <c r="E40">
        <v>2022</v>
      </c>
      <c r="F40" t="s">
        <v>16</v>
      </c>
      <c r="G40" t="s">
        <v>17</v>
      </c>
      <c r="H40" t="s">
        <v>17</v>
      </c>
      <c r="I40" s="1">
        <v>44653</v>
      </c>
      <c r="J40" t="s">
        <v>17</v>
      </c>
      <c r="K40" t="s">
        <v>78</v>
      </c>
      <c r="L40" t="s">
        <v>114</v>
      </c>
    </row>
    <row r="41" spans="1:12" x14ac:dyDescent="0.25">
      <c r="A41" t="s">
        <v>110</v>
      </c>
      <c r="B41" t="s">
        <v>111</v>
      </c>
      <c r="C41" s="3" t="s">
        <v>112</v>
      </c>
      <c r="D41" t="s">
        <v>15</v>
      </c>
      <c r="E41">
        <v>2022</v>
      </c>
      <c r="F41" t="s">
        <v>16</v>
      </c>
      <c r="G41" t="s">
        <v>17</v>
      </c>
      <c r="H41" t="s">
        <v>17</v>
      </c>
      <c r="I41" s="1">
        <v>44653</v>
      </c>
      <c r="J41" t="s">
        <v>17</v>
      </c>
      <c r="K41" t="s">
        <v>78</v>
      </c>
      <c r="L41" t="s">
        <v>114</v>
      </c>
    </row>
    <row r="42" spans="1:12" x14ac:dyDescent="0.25">
      <c r="A42" t="s">
        <v>115</v>
      </c>
      <c r="B42" t="s">
        <v>116</v>
      </c>
      <c r="C42" s="3">
        <v>36165</v>
      </c>
      <c r="D42" t="s">
        <v>15</v>
      </c>
      <c r="E42">
        <v>2022</v>
      </c>
      <c r="F42" t="s">
        <v>16</v>
      </c>
      <c r="G42" t="s">
        <v>17</v>
      </c>
      <c r="H42" t="s">
        <v>17</v>
      </c>
      <c r="I42" s="1">
        <v>44653</v>
      </c>
      <c r="J42" t="s">
        <v>17</v>
      </c>
      <c r="K42" t="s">
        <v>28</v>
      </c>
      <c r="L42" t="s">
        <v>24</v>
      </c>
    </row>
    <row r="43" spans="1:12" hidden="1" x14ac:dyDescent="0.25">
      <c r="A43" t="s">
        <v>117</v>
      </c>
      <c r="B43" t="s">
        <v>118</v>
      </c>
      <c r="C43">
        <v>43153</v>
      </c>
      <c r="D43" t="s">
        <v>15</v>
      </c>
      <c r="E43">
        <v>2022</v>
      </c>
      <c r="F43" t="s">
        <v>16</v>
      </c>
      <c r="G43" t="s">
        <v>17</v>
      </c>
      <c r="H43" t="s">
        <v>17</v>
      </c>
      <c r="I43" s="1">
        <v>44653</v>
      </c>
      <c r="J43" t="s">
        <v>17</v>
      </c>
      <c r="K43" t="s">
        <v>93</v>
      </c>
      <c r="L43" t="s">
        <v>19</v>
      </c>
    </row>
    <row r="44" spans="1:12" hidden="1" x14ac:dyDescent="0.25">
      <c r="A44" t="s">
        <v>119</v>
      </c>
      <c r="B44" t="s">
        <v>120</v>
      </c>
      <c r="C44">
        <v>35502</v>
      </c>
      <c r="D44" t="s">
        <v>15</v>
      </c>
      <c r="E44">
        <v>2022</v>
      </c>
      <c r="F44" t="s">
        <v>16</v>
      </c>
      <c r="G44" t="s">
        <v>17</v>
      </c>
      <c r="H44" t="s">
        <v>17</v>
      </c>
      <c r="I44" s="1">
        <v>44653</v>
      </c>
      <c r="J44" t="s">
        <v>17</v>
      </c>
      <c r="K44" t="s">
        <v>63</v>
      </c>
      <c r="L44" t="s">
        <v>19</v>
      </c>
    </row>
    <row r="45" spans="1:12" x14ac:dyDescent="0.25">
      <c r="A45" t="s">
        <v>121</v>
      </c>
      <c r="B45" t="s">
        <v>122</v>
      </c>
      <c r="C45" s="3">
        <v>33392</v>
      </c>
      <c r="D45" t="s">
        <v>15</v>
      </c>
      <c r="E45">
        <v>2022</v>
      </c>
      <c r="F45" t="s">
        <v>16</v>
      </c>
      <c r="G45" t="s">
        <v>17</v>
      </c>
      <c r="H45" t="s">
        <v>17</v>
      </c>
      <c r="I45" s="1">
        <v>44653</v>
      </c>
      <c r="J45" t="s">
        <v>17</v>
      </c>
      <c r="K45" t="s">
        <v>123</v>
      </c>
      <c r="L45" t="s">
        <v>24</v>
      </c>
    </row>
    <row r="46" spans="1:12" x14ac:dyDescent="0.25">
      <c r="A46" t="s">
        <v>124</v>
      </c>
      <c r="B46" t="s">
        <v>125</v>
      </c>
      <c r="C46" s="3">
        <v>97099</v>
      </c>
      <c r="D46" t="s">
        <v>15</v>
      </c>
      <c r="E46">
        <v>2022</v>
      </c>
      <c r="F46" t="s">
        <v>16</v>
      </c>
      <c r="G46" t="s">
        <v>17</v>
      </c>
      <c r="H46" t="s">
        <v>17</v>
      </c>
      <c r="I46" s="1">
        <v>44653</v>
      </c>
      <c r="J46" t="s">
        <v>17</v>
      </c>
      <c r="K46" t="s">
        <v>123</v>
      </c>
      <c r="L46" t="s">
        <v>71</v>
      </c>
    </row>
    <row r="47" spans="1:12" x14ac:dyDescent="0.25">
      <c r="A47" t="s">
        <v>126</v>
      </c>
      <c r="B47" t="s">
        <v>127</v>
      </c>
      <c r="C47" s="3">
        <v>39503</v>
      </c>
      <c r="D47" t="s">
        <v>15</v>
      </c>
      <c r="E47">
        <v>2022</v>
      </c>
      <c r="F47" t="s">
        <v>16</v>
      </c>
      <c r="G47" t="s">
        <v>17</v>
      </c>
      <c r="H47" t="s">
        <v>17</v>
      </c>
      <c r="I47" s="1">
        <v>44653</v>
      </c>
      <c r="J47" t="s">
        <v>17</v>
      </c>
      <c r="K47" t="s">
        <v>23</v>
      </c>
      <c r="L47" t="s">
        <v>31</v>
      </c>
    </row>
    <row r="48" spans="1:12" hidden="1" x14ac:dyDescent="0.25">
      <c r="A48" t="s">
        <v>128</v>
      </c>
      <c r="B48" t="s">
        <v>129</v>
      </c>
      <c r="C48">
        <v>38481</v>
      </c>
      <c r="D48" t="s">
        <v>15</v>
      </c>
      <c r="E48">
        <v>2022</v>
      </c>
      <c r="F48" t="s">
        <v>16</v>
      </c>
      <c r="G48" t="s">
        <v>17</v>
      </c>
      <c r="H48" t="s">
        <v>17</v>
      </c>
      <c r="I48" s="1">
        <v>44653</v>
      </c>
      <c r="J48" t="s">
        <v>17</v>
      </c>
      <c r="K48" t="s">
        <v>130</v>
      </c>
      <c r="L48" t="s">
        <v>19</v>
      </c>
    </row>
    <row r="49" spans="1:12" x14ac:dyDescent="0.25">
      <c r="A49" t="s">
        <v>131</v>
      </c>
      <c r="B49" t="s">
        <v>132</v>
      </c>
      <c r="C49" s="3">
        <v>57245</v>
      </c>
      <c r="D49" t="s">
        <v>15</v>
      </c>
      <c r="E49">
        <v>2022</v>
      </c>
      <c r="F49" t="s">
        <v>16</v>
      </c>
      <c r="G49" t="s">
        <v>17</v>
      </c>
      <c r="H49" t="s">
        <v>17</v>
      </c>
      <c r="I49" s="1">
        <v>44653</v>
      </c>
      <c r="J49" t="s">
        <v>17</v>
      </c>
      <c r="K49" t="s">
        <v>28</v>
      </c>
      <c r="L49" t="s">
        <v>71</v>
      </c>
    </row>
    <row r="50" spans="1:12" x14ac:dyDescent="0.25">
      <c r="A50" t="s">
        <v>133</v>
      </c>
      <c r="B50" t="s">
        <v>134</v>
      </c>
      <c r="C50" s="3">
        <v>4943</v>
      </c>
      <c r="D50" t="s">
        <v>27</v>
      </c>
      <c r="E50">
        <v>2022</v>
      </c>
      <c r="F50" t="s">
        <v>16</v>
      </c>
      <c r="G50" t="s">
        <v>17</v>
      </c>
      <c r="H50" t="s">
        <v>17</v>
      </c>
      <c r="I50" s="1">
        <v>44653</v>
      </c>
      <c r="J50" t="s">
        <v>17</v>
      </c>
      <c r="K50" t="s">
        <v>85</v>
      </c>
      <c r="L50" t="s">
        <v>71</v>
      </c>
    </row>
    <row r="51" spans="1:12" x14ac:dyDescent="0.25">
      <c r="A51" t="s">
        <v>135</v>
      </c>
      <c r="B51" t="s">
        <v>136</v>
      </c>
      <c r="C51" s="3">
        <v>31544</v>
      </c>
      <c r="D51" t="s">
        <v>15</v>
      </c>
      <c r="E51">
        <v>2022</v>
      </c>
      <c r="F51" t="s">
        <v>16</v>
      </c>
      <c r="G51" t="s">
        <v>17</v>
      </c>
      <c r="H51" t="s">
        <v>17</v>
      </c>
      <c r="I51" s="1">
        <v>44653</v>
      </c>
      <c r="J51" t="s">
        <v>17</v>
      </c>
      <c r="K51" t="s">
        <v>137</v>
      </c>
      <c r="L51" t="s">
        <v>24</v>
      </c>
    </row>
    <row r="52" spans="1:12" x14ac:dyDescent="0.25">
      <c r="A52" t="s">
        <v>138</v>
      </c>
      <c r="B52" t="s">
        <v>139</v>
      </c>
      <c r="C52" s="3">
        <v>224</v>
      </c>
      <c r="D52" t="s">
        <v>27</v>
      </c>
      <c r="E52">
        <v>2022</v>
      </c>
      <c r="F52" t="s">
        <v>16</v>
      </c>
      <c r="G52" t="s">
        <v>17</v>
      </c>
      <c r="H52" t="s">
        <v>17</v>
      </c>
      <c r="I52" s="1">
        <v>44653</v>
      </c>
      <c r="J52" t="s">
        <v>17</v>
      </c>
      <c r="K52" t="s">
        <v>68</v>
      </c>
      <c r="L52" t="s">
        <v>24</v>
      </c>
    </row>
    <row r="53" spans="1:12" x14ac:dyDescent="0.25">
      <c r="A53" t="s">
        <v>140</v>
      </c>
      <c r="B53" t="s">
        <v>141</v>
      </c>
      <c r="C53" s="3">
        <v>40843</v>
      </c>
      <c r="D53" t="s">
        <v>15</v>
      </c>
      <c r="E53">
        <v>2022</v>
      </c>
      <c r="F53" t="s">
        <v>16</v>
      </c>
      <c r="G53" t="s">
        <v>17</v>
      </c>
      <c r="H53" t="s">
        <v>17</v>
      </c>
      <c r="I53" s="1">
        <v>44653</v>
      </c>
      <c r="J53" t="s">
        <v>17</v>
      </c>
      <c r="K53" t="s">
        <v>23</v>
      </c>
      <c r="L53" t="s">
        <v>71</v>
      </c>
    </row>
    <row r="54" spans="1:12" x14ac:dyDescent="0.25">
      <c r="A54" t="s">
        <v>142</v>
      </c>
      <c r="B54" t="s">
        <v>143</v>
      </c>
      <c r="C54" s="3">
        <v>5003</v>
      </c>
      <c r="D54" t="s">
        <v>27</v>
      </c>
      <c r="E54">
        <v>2022</v>
      </c>
      <c r="F54" t="s">
        <v>16</v>
      </c>
      <c r="G54" t="s">
        <v>17</v>
      </c>
      <c r="H54" t="s">
        <v>17</v>
      </c>
      <c r="I54" s="1">
        <v>44653</v>
      </c>
      <c r="J54" t="s">
        <v>17</v>
      </c>
      <c r="K54" t="s">
        <v>23</v>
      </c>
      <c r="L54" t="s">
        <v>24</v>
      </c>
    </row>
    <row r="55" spans="1:12" x14ac:dyDescent="0.25">
      <c r="A55" t="s">
        <v>144</v>
      </c>
      <c r="B55" t="s">
        <v>145</v>
      </c>
      <c r="C55" s="3">
        <v>40002</v>
      </c>
      <c r="D55" t="s">
        <v>15</v>
      </c>
      <c r="E55">
        <v>2022</v>
      </c>
      <c r="F55" t="s">
        <v>16</v>
      </c>
      <c r="G55" t="s">
        <v>17</v>
      </c>
      <c r="H55" t="s">
        <v>17</v>
      </c>
      <c r="I55" s="1">
        <v>44653</v>
      </c>
      <c r="J55" t="s">
        <v>17</v>
      </c>
      <c r="K55" t="s">
        <v>23</v>
      </c>
      <c r="L55" t="s">
        <v>31</v>
      </c>
    </row>
    <row r="56" spans="1:12" x14ac:dyDescent="0.25">
      <c r="A56" t="s">
        <v>146</v>
      </c>
      <c r="B56" t="s">
        <v>147</v>
      </c>
      <c r="C56" s="3">
        <v>9882</v>
      </c>
      <c r="D56" t="s">
        <v>27</v>
      </c>
      <c r="E56">
        <v>2022</v>
      </c>
      <c r="F56" t="s">
        <v>16</v>
      </c>
      <c r="G56" t="s">
        <v>17</v>
      </c>
      <c r="H56" t="s">
        <v>17</v>
      </c>
      <c r="I56" s="1">
        <v>44653</v>
      </c>
      <c r="J56" t="s">
        <v>17</v>
      </c>
      <c r="K56" t="s">
        <v>28</v>
      </c>
      <c r="L56" t="s">
        <v>71</v>
      </c>
    </row>
    <row r="57" spans="1:12" hidden="1" x14ac:dyDescent="0.25">
      <c r="A57" t="s">
        <v>148</v>
      </c>
      <c r="B57" t="s">
        <v>149</v>
      </c>
      <c r="C57">
        <v>48733</v>
      </c>
      <c r="D57" t="s">
        <v>15</v>
      </c>
      <c r="E57">
        <v>2022</v>
      </c>
      <c r="F57" t="s">
        <v>16</v>
      </c>
      <c r="G57" t="s">
        <v>17</v>
      </c>
      <c r="H57" t="s">
        <v>17</v>
      </c>
      <c r="I57" s="1">
        <v>44653</v>
      </c>
      <c r="J57" t="s">
        <v>17</v>
      </c>
      <c r="K57" t="s">
        <v>150</v>
      </c>
      <c r="L57" t="s">
        <v>19</v>
      </c>
    </row>
    <row r="58" spans="1:12" x14ac:dyDescent="0.25">
      <c r="A58" t="s">
        <v>151</v>
      </c>
      <c r="B58" t="s">
        <v>152</v>
      </c>
      <c r="C58" s="3">
        <v>34798</v>
      </c>
      <c r="D58" t="s">
        <v>15</v>
      </c>
      <c r="E58">
        <v>2022</v>
      </c>
      <c r="F58" t="s">
        <v>16</v>
      </c>
      <c r="G58" t="s">
        <v>17</v>
      </c>
      <c r="H58" t="s">
        <v>17</v>
      </c>
      <c r="I58" s="1">
        <v>44653</v>
      </c>
      <c r="J58" t="s">
        <v>17</v>
      </c>
      <c r="K58" t="s">
        <v>28</v>
      </c>
      <c r="L58" t="s">
        <v>31</v>
      </c>
    </row>
    <row r="59" spans="1:12" x14ac:dyDescent="0.25">
      <c r="A59" t="s">
        <v>153</v>
      </c>
      <c r="B59" t="s">
        <v>154</v>
      </c>
      <c r="C59" s="3">
        <v>13775</v>
      </c>
      <c r="D59" t="s">
        <v>27</v>
      </c>
      <c r="E59">
        <v>2022</v>
      </c>
      <c r="F59" t="s">
        <v>16</v>
      </c>
      <c r="G59" t="s">
        <v>17</v>
      </c>
      <c r="H59" t="s">
        <v>17</v>
      </c>
      <c r="I59" s="1">
        <v>44653</v>
      </c>
      <c r="J59" t="s">
        <v>17</v>
      </c>
      <c r="K59" t="s">
        <v>23</v>
      </c>
      <c r="L59" t="s">
        <v>71</v>
      </c>
    </row>
    <row r="60" spans="1:12" x14ac:dyDescent="0.25">
      <c r="A60" t="s">
        <v>155</v>
      </c>
      <c r="B60" t="s">
        <v>156</v>
      </c>
      <c r="C60" s="3">
        <v>48720</v>
      </c>
      <c r="D60" t="s">
        <v>15</v>
      </c>
      <c r="E60">
        <v>2022</v>
      </c>
      <c r="F60" t="s">
        <v>16</v>
      </c>
      <c r="G60" t="s">
        <v>17</v>
      </c>
      <c r="H60" t="s">
        <v>17</v>
      </c>
      <c r="I60" s="1">
        <v>44653</v>
      </c>
      <c r="J60" t="s">
        <v>17</v>
      </c>
      <c r="K60" t="s">
        <v>23</v>
      </c>
      <c r="L60" t="s">
        <v>24</v>
      </c>
    </row>
    <row r="61" spans="1:12" x14ac:dyDescent="0.25">
      <c r="A61" t="s">
        <v>155</v>
      </c>
      <c r="B61" t="s">
        <v>14</v>
      </c>
      <c r="C61" s="3">
        <v>10681</v>
      </c>
      <c r="D61" t="s">
        <v>27</v>
      </c>
      <c r="E61">
        <v>2022</v>
      </c>
      <c r="F61" t="s">
        <v>16</v>
      </c>
      <c r="G61" t="s">
        <v>17</v>
      </c>
      <c r="H61" t="s">
        <v>17</v>
      </c>
      <c r="I61" s="1">
        <v>44653</v>
      </c>
      <c r="J61" t="s">
        <v>17</v>
      </c>
      <c r="K61" t="s">
        <v>157</v>
      </c>
      <c r="L61" t="s">
        <v>24</v>
      </c>
    </row>
    <row r="62" spans="1:12" x14ac:dyDescent="0.25">
      <c r="A62" t="s">
        <v>158</v>
      </c>
      <c r="B62" t="s">
        <v>159</v>
      </c>
      <c r="C62" s="3">
        <v>37295</v>
      </c>
      <c r="D62" t="s">
        <v>15</v>
      </c>
      <c r="E62">
        <v>2022</v>
      </c>
      <c r="F62" t="s">
        <v>16</v>
      </c>
      <c r="G62" t="s">
        <v>17</v>
      </c>
      <c r="H62" t="s">
        <v>17</v>
      </c>
      <c r="I62" s="1">
        <v>44653</v>
      </c>
      <c r="J62" t="s">
        <v>17</v>
      </c>
      <c r="K62" t="s">
        <v>18</v>
      </c>
      <c r="L62" t="s">
        <v>31</v>
      </c>
    </row>
    <row r="63" spans="1:12" hidden="1" x14ac:dyDescent="0.25">
      <c r="A63" t="s">
        <v>160</v>
      </c>
      <c r="B63" t="s">
        <v>161</v>
      </c>
      <c r="C63">
        <v>11476</v>
      </c>
      <c r="D63" t="s">
        <v>27</v>
      </c>
      <c r="E63">
        <v>2022</v>
      </c>
      <c r="F63" t="s">
        <v>16</v>
      </c>
      <c r="G63" t="s">
        <v>17</v>
      </c>
      <c r="H63" t="s">
        <v>17</v>
      </c>
      <c r="I63" s="1">
        <v>44653</v>
      </c>
      <c r="J63" t="s">
        <v>17</v>
      </c>
      <c r="K63" t="s">
        <v>96</v>
      </c>
      <c r="L63" t="s">
        <v>19</v>
      </c>
    </row>
    <row r="64" spans="1:12" hidden="1" x14ac:dyDescent="0.25">
      <c r="A64" t="s">
        <v>162</v>
      </c>
      <c r="B64" t="s">
        <v>163</v>
      </c>
      <c r="C64">
        <v>29266</v>
      </c>
      <c r="D64" t="s">
        <v>15</v>
      </c>
      <c r="E64">
        <v>2022</v>
      </c>
      <c r="F64" t="s">
        <v>16</v>
      </c>
      <c r="G64" t="s">
        <v>17</v>
      </c>
      <c r="H64" t="s">
        <v>17</v>
      </c>
      <c r="I64" s="1">
        <v>44653</v>
      </c>
      <c r="J64" t="s">
        <v>17</v>
      </c>
      <c r="K64" t="s">
        <v>123</v>
      </c>
      <c r="L64" t="s">
        <v>19</v>
      </c>
    </row>
    <row r="65" spans="1:12" x14ac:dyDescent="0.25">
      <c r="A65" t="s">
        <v>164</v>
      </c>
      <c r="B65" t="s">
        <v>165</v>
      </c>
      <c r="C65" s="3">
        <v>12393</v>
      </c>
      <c r="D65" t="s">
        <v>27</v>
      </c>
      <c r="E65">
        <v>2022</v>
      </c>
      <c r="F65" t="s">
        <v>16</v>
      </c>
      <c r="G65" t="s">
        <v>17</v>
      </c>
      <c r="H65" t="s">
        <v>17</v>
      </c>
      <c r="I65" s="1">
        <v>44653</v>
      </c>
      <c r="J65" t="s">
        <v>17</v>
      </c>
      <c r="K65" t="s">
        <v>28</v>
      </c>
      <c r="L65" t="s">
        <v>71</v>
      </c>
    </row>
    <row r="66" spans="1:12" x14ac:dyDescent="0.25">
      <c r="A66" t="s">
        <v>166</v>
      </c>
      <c r="B66" t="s">
        <v>167</v>
      </c>
      <c r="C66" s="3">
        <v>33848</v>
      </c>
      <c r="D66" t="s">
        <v>15</v>
      </c>
      <c r="E66">
        <v>2022</v>
      </c>
      <c r="F66" t="s">
        <v>16</v>
      </c>
      <c r="G66" t="s">
        <v>17</v>
      </c>
      <c r="H66" t="s">
        <v>17</v>
      </c>
      <c r="I66" s="1">
        <v>44653</v>
      </c>
      <c r="J66" t="s">
        <v>17</v>
      </c>
      <c r="K66" t="s">
        <v>23</v>
      </c>
      <c r="L66" t="s">
        <v>31</v>
      </c>
    </row>
    <row r="67" spans="1:12" x14ac:dyDescent="0.25">
      <c r="A67" t="s">
        <v>168</v>
      </c>
      <c r="B67" t="s">
        <v>103</v>
      </c>
      <c r="C67" s="3">
        <v>54308</v>
      </c>
      <c r="D67" t="s">
        <v>27</v>
      </c>
      <c r="E67">
        <v>2022</v>
      </c>
      <c r="F67" t="s">
        <v>16</v>
      </c>
      <c r="G67" t="s">
        <v>17</v>
      </c>
      <c r="H67" t="s">
        <v>17</v>
      </c>
      <c r="I67" s="1">
        <v>44653</v>
      </c>
      <c r="J67" t="s">
        <v>17</v>
      </c>
      <c r="K67" t="s">
        <v>150</v>
      </c>
      <c r="L67" t="s">
        <v>24</v>
      </c>
    </row>
    <row r="68" spans="1:12" x14ac:dyDescent="0.25">
      <c r="A68" t="s">
        <v>169</v>
      </c>
      <c r="B68" t="s">
        <v>170</v>
      </c>
      <c r="C68" s="3">
        <v>51922</v>
      </c>
      <c r="D68" t="s">
        <v>15</v>
      </c>
      <c r="E68">
        <v>2022</v>
      </c>
      <c r="F68" t="s">
        <v>16</v>
      </c>
      <c r="G68" t="s">
        <v>17</v>
      </c>
      <c r="H68" t="s">
        <v>17</v>
      </c>
      <c r="I68" s="1">
        <v>44653</v>
      </c>
      <c r="J68" t="s">
        <v>17</v>
      </c>
      <c r="K68" t="s">
        <v>28</v>
      </c>
      <c r="L68" t="s">
        <v>71</v>
      </c>
    </row>
    <row r="69" spans="1:12" x14ac:dyDescent="0.25">
      <c r="A69" t="s">
        <v>171</v>
      </c>
      <c r="B69" t="s">
        <v>172</v>
      </c>
      <c r="C69" s="3">
        <v>48917</v>
      </c>
      <c r="D69" t="s">
        <v>15</v>
      </c>
      <c r="E69">
        <v>2022</v>
      </c>
      <c r="F69" t="s">
        <v>16</v>
      </c>
      <c r="G69" t="s">
        <v>17</v>
      </c>
      <c r="H69" t="s">
        <v>17</v>
      </c>
      <c r="I69" s="1">
        <v>44653</v>
      </c>
      <c r="J69" t="s">
        <v>17</v>
      </c>
      <c r="K69" t="s">
        <v>173</v>
      </c>
      <c r="L69" t="s">
        <v>31</v>
      </c>
    </row>
    <row r="70" spans="1:12" hidden="1" x14ac:dyDescent="0.25">
      <c r="A70" t="s">
        <v>174</v>
      </c>
      <c r="B70" t="s">
        <v>175</v>
      </c>
      <c r="C70">
        <v>32602</v>
      </c>
      <c r="D70" t="s">
        <v>15</v>
      </c>
      <c r="E70">
        <v>2022</v>
      </c>
      <c r="F70" t="s">
        <v>16</v>
      </c>
      <c r="G70" t="s">
        <v>17</v>
      </c>
      <c r="H70" t="s">
        <v>17</v>
      </c>
      <c r="I70" s="1">
        <v>44653</v>
      </c>
      <c r="J70" t="s">
        <v>17</v>
      </c>
      <c r="K70" t="s">
        <v>176</v>
      </c>
      <c r="L70" t="s">
        <v>19</v>
      </c>
    </row>
    <row r="71" spans="1:12" x14ac:dyDescent="0.25">
      <c r="A71" t="s">
        <v>177</v>
      </c>
      <c r="B71" t="s">
        <v>33</v>
      </c>
      <c r="C71" s="3">
        <v>12913</v>
      </c>
      <c r="D71" t="s">
        <v>101</v>
      </c>
      <c r="E71">
        <v>2022</v>
      </c>
      <c r="F71" t="s">
        <v>16</v>
      </c>
      <c r="G71" t="s">
        <v>17</v>
      </c>
      <c r="H71" t="s">
        <v>17</v>
      </c>
      <c r="I71" s="1">
        <v>44653</v>
      </c>
      <c r="J71" t="s">
        <v>17</v>
      </c>
      <c r="K71" t="s">
        <v>37</v>
      </c>
      <c r="L71" t="s">
        <v>24</v>
      </c>
    </row>
    <row r="72" spans="1:12" x14ac:dyDescent="0.25">
      <c r="A72" t="s">
        <v>178</v>
      </c>
      <c r="B72" t="s">
        <v>179</v>
      </c>
      <c r="C72" s="3">
        <v>52030</v>
      </c>
      <c r="D72" t="s">
        <v>15</v>
      </c>
      <c r="E72">
        <v>2022</v>
      </c>
      <c r="F72" t="s">
        <v>16</v>
      </c>
      <c r="G72" t="s">
        <v>17</v>
      </c>
      <c r="H72" t="s">
        <v>17</v>
      </c>
      <c r="I72" s="1">
        <v>44653</v>
      </c>
      <c r="J72" t="s">
        <v>17</v>
      </c>
      <c r="K72" t="s">
        <v>78</v>
      </c>
      <c r="L72" t="s">
        <v>31</v>
      </c>
    </row>
    <row r="73" spans="1:12" hidden="1" x14ac:dyDescent="0.25">
      <c r="A73" t="s">
        <v>180</v>
      </c>
      <c r="B73" t="s">
        <v>111</v>
      </c>
      <c r="C73">
        <v>47782</v>
      </c>
      <c r="D73" t="s">
        <v>15</v>
      </c>
      <c r="E73">
        <v>2022</v>
      </c>
      <c r="F73" t="s">
        <v>16</v>
      </c>
      <c r="G73" t="s">
        <v>17</v>
      </c>
      <c r="H73" t="s">
        <v>17</v>
      </c>
      <c r="I73" s="1">
        <v>44653</v>
      </c>
      <c r="J73" t="s">
        <v>17</v>
      </c>
      <c r="K73" t="s">
        <v>181</v>
      </c>
      <c r="L73" t="s">
        <v>19</v>
      </c>
    </row>
    <row r="74" spans="1:12" x14ac:dyDescent="0.25">
      <c r="A74" t="s">
        <v>182</v>
      </c>
      <c r="B74" t="s">
        <v>183</v>
      </c>
      <c r="C74" s="3">
        <v>37326</v>
      </c>
      <c r="D74" t="s">
        <v>15</v>
      </c>
      <c r="E74">
        <v>2022</v>
      </c>
      <c r="F74" t="s">
        <v>16</v>
      </c>
      <c r="G74" t="s">
        <v>17</v>
      </c>
      <c r="H74" t="s">
        <v>17</v>
      </c>
      <c r="I74" s="1">
        <v>44653</v>
      </c>
      <c r="J74" t="s">
        <v>17</v>
      </c>
      <c r="K74" t="s">
        <v>78</v>
      </c>
      <c r="L74" t="s">
        <v>24</v>
      </c>
    </row>
    <row r="75" spans="1:12" x14ac:dyDescent="0.25">
      <c r="A75" t="s">
        <v>184</v>
      </c>
      <c r="B75" t="s">
        <v>56</v>
      </c>
      <c r="C75" s="3">
        <v>40297</v>
      </c>
      <c r="D75" t="s">
        <v>15</v>
      </c>
      <c r="E75">
        <v>2022</v>
      </c>
      <c r="F75" t="s">
        <v>16</v>
      </c>
      <c r="G75" t="s">
        <v>17</v>
      </c>
      <c r="H75" t="s">
        <v>17</v>
      </c>
      <c r="I75" s="1">
        <v>44653</v>
      </c>
      <c r="J75" t="s">
        <v>17</v>
      </c>
      <c r="K75" t="s">
        <v>37</v>
      </c>
      <c r="L75" t="s">
        <v>31</v>
      </c>
    </row>
    <row r="76" spans="1:12" x14ac:dyDescent="0.25">
      <c r="A76" t="s">
        <v>185</v>
      </c>
      <c r="B76" t="s">
        <v>88</v>
      </c>
      <c r="C76" s="3">
        <v>28696</v>
      </c>
      <c r="D76" t="s">
        <v>15</v>
      </c>
      <c r="E76">
        <v>2022</v>
      </c>
      <c r="F76" t="s">
        <v>16</v>
      </c>
      <c r="G76" t="s">
        <v>17</v>
      </c>
      <c r="H76" t="s">
        <v>17</v>
      </c>
      <c r="I76" s="1">
        <v>44653</v>
      </c>
      <c r="J76" t="s">
        <v>17</v>
      </c>
      <c r="K76" t="s">
        <v>150</v>
      </c>
      <c r="L76" t="s">
        <v>71</v>
      </c>
    </row>
    <row r="77" spans="1:12" hidden="1" x14ac:dyDescent="0.25">
      <c r="A77" t="s">
        <v>186</v>
      </c>
      <c r="B77" t="s">
        <v>187</v>
      </c>
      <c r="C77">
        <v>97450</v>
      </c>
      <c r="D77" t="s">
        <v>15</v>
      </c>
      <c r="E77">
        <v>2022</v>
      </c>
      <c r="F77" t="s">
        <v>16</v>
      </c>
      <c r="G77" t="s">
        <v>17</v>
      </c>
      <c r="H77" t="s">
        <v>17</v>
      </c>
      <c r="I77" s="1">
        <v>44653</v>
      </c>
      <c r="J77" t="s">
        <v>17</v>
      </c>
      <c r="K77" t="s">
        <v>93</v>
      </c>
      <c r="L77" t="s">
        <v>19</v>
      </c>
    </row>
    <row r="78" spans="1:12" hidden="1" x14ac:dyDescent="0.25">
      <c r="A78" t="s">
        <v>188</v>
      </c>
      <c r="B78" t="s">
        <v>189</v>
      </c>
      <c r="C78">
        <v>39995</v>
      </c>
      <c r="D78" t="s">
        <v>15</v>
      </c>
      <c r="E78">
        <v>2022</v>
      </c>
      <c r="F78" t="s">
        <v>16</v>
      </c>
      <c r="G78" t="s">
        <v>17</v>
      </c>
      <c r="H78" t="s">
        <v>17</v>
      </c>
      <c r="I78" s="1">
        <v>44653</v>
      </c>
      <c r="J78" t="s">
        <v>17</v>
      </c>
      <c r="K78" t="s">
        <v>18</v>
      </c>
      <c r="L78" t="s">
        <v>19</v>
      </c>
    </row>
    <row r="79" spans="1:12" hidden="1" x14ac:dyDescent="0.25">
      <c r="A79" t="s">
        <v>190</v>
      </c>
      <c r="B79" t="s">
        <v>191</v>
      </c>
      <c r="C79">
        <v>14985</v>
      </c>
      <c r="D79" t="s">
        <v>27</v>
      </c>
      <c r="E79">
        <v>2022</v>
      </c>
      <c r="F79" t="s">
        <v>16</v>
      </c>
      <c r="G79" t="s">
        <v>17</v>
      </c>
      <c r="H79" t="s">
        <v>17</v>
      </c>
      <c r="I79" s="1">
        <v>44653</v>
      </c>
      <c r="J79" t="s">
        <v>17</v>
      </c>
      <c r="K79" t="s">
        <v>28</v>
      </c>
      <c r="L79" t="s">
        <v>19</v>
      </c>
    </row>
    <row r="80" spans="1:12" hidden="1" x14ac:dyDescent="0.25">
      <c r="A80" t="s">
        <v>192</v>
      </c>
      <c r="B80" t="s">
        <v>43</v>
      </c>
      <c r="C80">
        <v>35316</v>
      </c>
      <c r="D80" t="s">
        <v>15</v>
      </c>
      <c r="E80">
        <v>2022</v>
      </c>
      <c r="F80" t="s">
        <v>16</v>
      </c>
      <c r="G80" t="s">
        <v>17</v>
      </c>
      <c r="H80" t="s">
        <v>17</v>
      </c>
      <c r="I80" s="1">
        <v>44653</v>
      </c>
      <c r="J80" t="s">
        <v>17</v>
      </c>
      <c r="K80" t="s">
        <v>28</v>
      </c>
      <c r="L80" t="s">
        <v>19</v>
      </c>
    </row>
    <row r="81" spans="1:12" hidden="1" x14ac:dyDescent="0.25">
      <c r="A81" t="s">
        <v>193</v>
      </c>
      <c r="B81" t="s">
        <v>194</v>
      </c>
      <c r="C81">
        <v>58157</v>
      </c>
      <c r="D81" t="s">
        <v>15</v>
      </c>
      <c r="E81">
        <v>2022</v>
      </c>
      <c r="F81" t="s">
        <v>16</v>
      </c>
      <c r="G81" t="s">
        <v>17</v>
      </c>
      <c r="H81" t="s">
        <v>17</v>
      </c>
      <c r="I81" s="1">
        <v>44653</v>
      </c>
      <c r="J81" t="s">
        <v>17</v>
      </c>
      <c r="K81" t="s">
        <v>54</v>
      </c>
      <c r="L81" t="s">
        <v>19</v>
      </c>
    </row>
    <row r="82" spans="1:12" hidden="1" x14ac:dyDescent="0.25">
      <c r="A82" t="s">
        <v>195</v>
      </c>
      <c r="B82" t="s">
        <v>196</v>
      </c>
      <c r="C82">
        <v>50165</v>
      </c>
      <c r="D82" t="s">
        <v>15</v>
      </c>
      <c r="E82">
        <v>2022</v>
      </c>
      <c r="F82" t="s">
        <v>16</v>
      </c>
      <c r="G82" t="s">
        <v>17</v>
      </c>
      <c r="H82" t="s">
        <v>17</v>
      </c>
      <c r="I82" s="1">
        <v>44653</v>
      </c>
      <c r="J82" t="s">
        <v>17</v>
      </c>
      <c r="K82" t="s">
        <v>18</v>
      </c>
      <c r="L82" t="s">
        <v>19</v>
      </c>
    </row>
    <row r="83" spans="1:12" hidden="1" x14ac:dyDescent="0.25">
      <c r="A83" t="s">
        <v>197</v>
      </c>
      <c r="B83" t="s">
        <v>198</v>
      </c>
      <c r="C83">
        <v>15473</v>
      </c>
      <c r="D83" t="s">
        <v>27</v>
      </c>
      <c r="E83">
        <v>2022</v>
      </c>
      <c r="F83" t="s">
        <v>16</v>
      </c>
      <c r="G83" t="s">
        <v>17</v>
      </c>
      <c r="H83" t="s">
        <v>17</v>
      </c>
      <c r="I83" s="1">
        <v>44653</v>
      </c>
      <c r="J83" t="s">
        <v>17</v>
      </c>
      <c r="K83" t="s">
        <v>96</v>
      </c>
      <c r="L83" t="s">
        <v>19</v>
      </c>
    </row>
    <row r="84" spans="1:12" hidden="1" x14ac:dyDescent="0.25">
      <c r="A84" t="s">
        <v>199</v>
      </c>
      <c r="B84" t="s">
        <v>200</v>
      </c>
      <c r="C84">
        <v>7778</v>
      </c>
      <c r="D84" t="s">
        <v>15</v>
      </c>
      <c r="E84">
        <v>2022</v>
      </c>
      <c r="F84" t="s">
        <v>16</v>
      </c>
      <c r="G84" t="s">
        <v>17</v>
      </c>
      <c r="H84" t="s">
        <v>17</v>
      </c>
      <c r="I84" s="1">
        <v>44653</v>
      </c>
      <c r="J84" t="s">
        <v>17</v>
      </c>
      <c r="K84" t="s">
        <v>60</v>
      </c>
      <c r="L84" t="s">
        <v>19</v>
      </c>
    </row>
    <row r="85" spans="1:12" x14ac:dyDescent="0.25">
      <c r="A85" t="s">
        <v>201</v>
      </c>
      <c r="B85" t="s">
        <v>202</v>
      </c>
      <c r="C85" s="3">
        <v>97209</v>
      </c>
      <c r="D85" t="s">
        <v>15</v>
      </c>
      <c r="E85">
        <v>2022</v>
      </c>
      <c r="F85" t="s">
        <v>16</v>
      </c>
      <c r="G85" t="s">
        <v>17</v>
      </c>
      <c r="H85" t="s">
        <v>17</v>
      </c>
      <c r="I85" s="1">
        <v>44653</v>
      </c>
      <c r="J85" t="s">
        <v>17</v>
      </c>
      <c r="K85" t="s">
        <v>57</v>
      </c>
      <c r="L85" t="s">
        <v>24</v>
      </c>
    </row>
    <row r="86" spans="1:12" x14ac:dyDescent="0.25">
      <c r="A86" t="s">
        <v>203</v>
      </c>
      <c r="B86" t="s">
        <v>56</v>
      </c>
      <c r="C86" s="3">
        <v>27070</v>
      </c>
      <c r="D86" t="s">
        <v>15</v>
      </c>
      <c r="E86">
        <v>2022</v>
      </c>
      <c r="F86" t="s">
        <v>16</v>
      </c>
      <c r="G86" t="s">
        <v>17</v>
      </c>
      <c r="H86" t="s">
        <v>17</v>
      </c>
      <c r="I86" s="1">
        <v>44653</v>
      </c>
      <c r="J86" t="s">
        <v>17</v>
      </c>
      <c r="K86" t="s">
        <v>204</v>
      </c>
      <c r="L86" t="s">
        <v>24</v>
      </c>
    </row>
    <row r="87" spans="1:12" x14ac:dyDescent="0.25">
      <c r="A87" t="s">
        <v>205</v>
      </c>
      <c r="B87" t="s">
        <v>74</v>
      </c>
      <c r="C87" s="3">
        <v>42647</v>
      </c>
      <c r="D87" t="s">
        <v>15</v>
      </c>
      <c r="E87">
        <v>2022</v>
      </c>
      <c r="F87" t="s">
        <v>16</v>
      </c>
      <c r="G87" t="s">
        <v>17</v>
      </c>
      <c r="H87" t="s">
        <v>17</v>
      </c>
      <c r="I87" s="1">
        <v>44653</v>
      </c>
      <c r="J87" t="s">
        <v>17</v>
      </c>
      <c r="K87" t="s">
        <v>28</v>
      </c>
      <c r="L87" t="s">
        <v>31</v>
      </c>
    </row>
    <row r="88" spans="1:12" x14ac:dyDescent="0.25">
      <c r="A88" t="s">
        <v>206</v>
      </c>
      <c r="B88" t="s">
        <v>207</v>
      </c>
      <c r="C88" s="3">
        <v>17729</v>
      </c>
      <c r="D88" t="s">
        <v>27</v>
      </c>
      <c r="E88">
        <v>2022</v>
      </c>
      <c r="F88" t="s">
        <v>16</v>
      </c>
      <c r="G88" t="s">
        <v>17</v>
      </c>
      <c r="H88" t="s">
        <v>17</v>
      </c>
      <c r="I88" s="1">
        <v>44653</v>
      </c>
      <c r="J88" t="s">
        <v>17</v>
      </c>
      <c r="K88" t="s">
        <v>208</v>
      </c>
      <c r="L88" t="s">
        <v>24</v>
      </c>
    </row>
    <row r="89" spans="1:12" hidden="1" x14ac:dyDescent="0.25">
      <c r="A89" t="s">
        <v>209</v>
      </c>
      <c r="B89" t="s">
        <v>14</v>
      </c>
      <c r="C89">
        <v>19077</v>
      </c>
      <c r="D89" t="s">
        <v>27</v>
      </c>
      <c r="E89">
        <v>2022</v>
      </c>
      <c r="F89" t="s">
        <v>16</v>
      </c>
      <c r="G89" t="s">
        <v>17</v>
      </c>
      <c r="H89" t="s">
        <v>17</v>
      </c>
      <c r="I89" s="1">
        <v>44653</v>
      </c>
      <c r="J89" t="s">
        <v>17</v>
      </c>
      <c r="K89" t="s">
        <v>23</v>
      </c>
      <c r="L89" t="s">
        <v>19</v>
      </c>
    </row>
    <row r="90" spans="1:12" x14ac:dyDescent="0.25">
      <c r="A90" t="s">
        <v>210</v>
      </c>
      <c r="B90" t="s">
        <v>211</v>
      </c>
      <c r="C90" s="3">
        <v>16265</v>
      </c>
      <c r="D90" t="s">
        <v>113</v>
      </c>
      <c r="E90">
        <v>2022</v>
      </c>
      <c r="F90" t="s">
        <v>16</v>
      </c>
      <c r="G90" t="s">
        <v>17</v>
      </c>
      <c r="H90" t="s">
        <v>17</v>
      </c>
      <c r="I90" s="1">
        <v>44653</v>
      </c>
      <c r="J90" t="s">
        <v>17</v>
      </c>
      <c r="K90" t="s">
        <v>85</v>
      </c>
      <c r="L90" t="s">
        <v>71</v>
      </c>
    </row>
    <row r="91" spans="1:12" x14ac:dyDescent="0.25">
      <c r="A91" t="s">
        <v>212</v>
      </c>
      <c r="B91" t="s">
        <v>213</v>
      </c>
      <c r="C91" s="3">
        <v>48969</v>
      </c>
      <c r="D91" t="s">
        <v>15</v>
      </c>
      <c r="E91">
        <v>2022</v>
      </c>
      <c r="F91" t="s">
        <v>16</v>
      </c>
      <c r="G91" t="s">
        <v>17</v>
      </c>
      <c r="H91" t="s">
        <v>17</v>
      </c>
      <c r="I91" s="1">
        <v>44653</v>
      </c>
      <c r="J91" t="s">
        <v>17</v>
      </c>
      <c r="K91" t="s">
        <v>123</v>
      </c>
      <c r="L91" t="s">
        <v>31</v>
      </c>
    </row>
    <row r="92" spans="1:12" x14ac:dyDescent="0.25">
      <c r="A92" t="s">
        <v>214</v>
      </c>
      <c r="B92" t="s">
        <v>215</v>
      </c>
      <c r="C92" s="3">
        <v>51952</v>
      </c>
      <c r="D92" t="s">
        <v>15</v>
      </c>
      <c r="E92">
        <v>2022</v>
      </c>
      <c r="F92" t="s">
        <v>16</v>
      </c>
      <c r="G92" t="s">
        <v>17</v>
      </c>
      <c r="H92" t="s">
        <v>17</v>
      </c>
      <c r="I92" s="1">
        <v>44653</v>
      </c>
      <c r="J92" t="s">
        <v>17</v>
      </c>
      <c r="K92" t="s">
        <v>23</v>
      </c>
      <c r="L92" t="s">
        <v>24</v>
      </c>
    </row>
    <row r="93" spans="1:12" hidden="1" x14ac:dyDescent="0.25">
      <c r="A93" t="s">
        <v>216</v>
      </c>
      <c r="B93" t="s">
        <v>217</v>
      </c>
      <c r="C93">
        <v>27647</v>
      </c>
      <c r="D93" t="s">
        <v>15</v>
      </c>
      <c r="E93">
        <v>2022</v>
      </c>
      <c r="F93" t="s">
        <v>16</v>
      </c>
      <c r="G93" t="s">
        <v>17</v>
      </c>
      <c r="H93" t="s">
        <v>17</v>
      </c>
      <c r="I93" s="1">
        <v>44653</v>
      </c>
      <c r="J93" t="s">
        <v>17</v>
      </c>
      <c r="K93" t="s">
        <v>18</v>
      </c>
      <c r="L93" t="s">
        <v>19</v>
      </c>
    </row>
    <row r="94" spans="1:12" x14ac:dyDescent="0.25">
      <c r="A94" t="s">
        <v>218</v>
      </c>
      <c r="B94" t="s">
        <v>219</v>
      </c>
      <c r="C94" s="3">
        <v>34904</v>
      </c>
      <c r="D94" t="s">
        <v>15</v>
      </c>
      <c r="E94">
        <v>2022</v>
      </c>
      <c r="F94" t="s">
        <v>16</v>
      </c>
      <c r="G94" t="s">
        <v>17</v>
      </c>
      <c r="H94" t="s">
        <v>17</v>
      </c>
      <c r="I94" s="1">
        <v>44653</v>
      </c>
      <c r="J94" t="s">
        <v>17</v>
      </c>
      <c r="K94" t="s">
        <v>220</v>
      </c>
      <c r="L94" t="s">
        <v>31</v>
      </c>
    </row>
    <row r="95" spans="1:12" x14ac:dyDescent="0.25">
      <c r="A95" t="s">
        <v>221</v>
      </c>
      <c r="B95" t="s">
        <v>222</v>
      </c>
      <c r="C95" s="3">
        <v>19090</v>
      </c>
      <c r="D95" t="s">
        <v>27</v>
      </c>
      <c r="E95">
        <v>2022</v>
      </c>
      <c r="F95" t="s">
        <v>16</v>
      </c>
      <c r="G95" t="s">
        <v>17</v>
      </c>
      <c r="H95" t="s">
        <v>17</v>
      </c>
      <c r="I95" s="1">
        <v>44653</v>
      </c>
      <c r="J95" t="s">
        <v>17</v>
      </c>
      <c r="K95" t="s">
        <v>181</v>
      </c>
      <c r="L95" t="s">
        <v>24</v>
      </c>
    </row>
    <row r="96" spans="1:12" x14ac:dyDescent="0.25">
      <c r="A96" t="s">
        <v>223</v>
      </c>
      <c r="B96" t="s">
        <v>224</v>
      </c>
      <c r="C96" s="3">
        <v>46126</v>
      </c>
      <c r="D96" t="s">
        <v>15</v>
      </c>
      <c r="E96">
        <v>2022</v>
      </c>
      <c r="F96" t="s">
        <v>16</v>
      </c>
      <c r="G96" t="s">
        <v>17</v>
      </c>
      <c r="H96" t="s">
        <v>17</v>
      </c>
      <c r="I96" s="1">
        <v>44653</v>
      </c>
      <c r="J96" t="s">
        <v>17</v>
      </c>
      <c r="K96" t="s">
        <v>23</v>
      </c>
      <c r="L96" t="s">
        <v>24</v>
      </c>
    </row>
    <row r="97" spans="1:12" hidden="1" x14ac:dyDescent="0.25">
      <c r="A97" t="s">
        <v>225</v>
      </c>
      <c r="B97" t="s">
        <v>226</v>
      </c>
      <c r="C97">
        <v>19536</v>
      </c>
      <c r="D97" t="s">
        <v>27</v>
      </c>
      <c r="E97">
        <v>2022</v>
      </c>
      <c r="F97" t="s">
        <v>16</v>
      </c>
      <c r="G97" t="s">
        <v>17</v>
      </c>
      <c r="H97" t="s">
        <v>17</v>
      </c>
      <c r="I97" s="1">
        <v>44653</v>
      </c>
      <c r="J97" t="s">
        <v>17</v>
      </c>
      <c r="K97" t="s">
        <v>227</v>
      </c>
      <c r="L97" t="s">
        <v>19</v>
      </c>
    </row>
    <row r="98" spans="1:12" x14ac:dyDescent="0.25">
      <c r="A98" t="s">
        <v>228</v>
      </c>
      <c r="B98" t="s">
        <v>229</v>
      </c>
      <c r="C98" s="3">
        <v>20213</v>
      </c>
      <c r="D98" t="s">
        <v>27</v>
      </c>
      <c r="E98">
        <v>2022</v>
      </c>
      <c r="F98" t="s">
        <v>16</v>
      </c>
      <c r="G98" t="s">
        <v>17</v>
      </c>
      <c r="H98" t="s">
        <v>17</v>
      </c>
      <c r="I98" s="1">
        <v>44653</v>
      </c>
      <c r="J98" t="s">
        <v>17</v>
      </c>
      <c r="K98" t="s">
        <v>230</v>
      </c>
      <c r="L98" t="s">
        <v>24</v>
      </c>
    </row>
    <row r="99" spans="1:12" hidden="1" x14ac:dyDescent="0.25">
      <c r="A99" t="s">
        <v>231</v>
      </c>
      <c r="B99" t="s">
        <v>232</v>
      </c>
      <c r="C99">
        <v>34532</v>
      </c>
      <c r="D99" t="s">
        <v>15</v>
      </c>
      <c r="E99">
        <v>2022</v>
      </c>
      <c r="F99" t="s">
        <v>16</v>
      </c>
      <c r="G99" t="s">
        <v>17</v>
      </c>
      <c r="H99" t="s">
        <v>17</v>
      </c>
      <c r="I99" s="1">
        <v>44653</v>
      </c>
      <c r="J99" t="s">
        <v>17</v>
      </c>
      <c r="K99" t="s">
        <v>23</v>
      </c>
      <c r="L99" t="s">
        <v>19</v>
      </c>
    </row>
    <row r="100" spans="1:12" x14ac:dyDescent="0.25">
      <c r="A100" t="s">
        <v>233</v>
      </c>
      <c r="B100" t="s">
        <v>234</v>
      </c>
      <c r="C100" s="3">
        <v>20358</v>
      </c>
      <c r="D100" t="s">
        <v>27</v>
      </c>
      <c r="E100">
        <v>2022</v>
      </c>
      <c r="F100" t="s">
        <v>16</v>
      </c>
      <c r="G100" t="s">
        <v>17</v>
      </c>
      <c r="H100" t="s">
        <v>17</v>
      </c>
      <c r="I100" s="1">
        <v>44653</v>
      </c>
      <c r="J100" t="s">
        <v>17</v>
      </c>
      <c r="K100" t="s">
        <v>23</v>
      </c>
      <c r="L100" t="s">
        <v>24</v>
      </c>
    </row>
    <row r="101" spans="1:12" x14ac:dyDescent="0.25">
      <c r="A101" t="s">
        <v>235</v>
      </c>
      <c r="B101" t="s">
        <v>236</v>
      </c>
      <c r="C101" s="3">
        <v>50364</v>
      </c>
      <c r="D101" t="s">
        <v>15</v>
      </c>
      <c r="E101">
        <v>2022</v>
      </c>
      <c r="F101" t="s">
        <v>16</v>
      </c>
      <c r="G101" t="s">
        <v>17</v>
      </c>
      <c r="H101" t="s">
        <v>17</v>
      </c>
      <c r="I101" s="1">
        <v>44653</v>
      </c>
      <c r="J101" t="s">
        <v>17</v>
      </c>
      <c r="K101" t="s">
        <v>150</v>
      </c>
      <c r="L101" t="s">
        <v>24</v>
      </c>
    </row>
    <row r="102" spans="1:12" x14ac:dyDescent="0.25">
      <c r="A102" t="s">
        <v>237</v>
      </c>
      <c r="B102" t="s">
        <v>238</v>
      </c>
      <c r="C102" s="3">
        <v>35656</v>
      </c>
      <c r="D102" t="s">
        <v>15</v>
      </c>
      <c r="E102">
        <v>2022</v>
      </c>
      <c r="F102" t="s">
        <v>16</v>
      </c>
      <c r="G102" t="s">
        <v>17</v>
      </c>
      <c r="H102" t="s">
        <v>17</v>
      </c>
      <c r="I102" s="1">
        <v>44653</v>
      </c>
      <c r="J102" t="s">
        <v>17</v>
      </c>
      <c r="K102" t="s">
        <v>78</v>
      </c>
      <c r="L102" t="s">
        <v>24</v>
      </c>
    </row>
    <row r="103" spans="1:12" x14ac:dyDescent="0.25">
      <c r="A103" t="s">
        <v>239</v>
      </c>
      <c r="B103" t="s">
        <v>103</v>
      </c>
      <c r="C103" s="3">
        <v>38639</v>
      </c>
      <c r="D103" t="s">
        <v>15</v>
      </c>
      <c r="E103">
        <v>2022</v>
      </c>
      <c r="F103" t="s">
        <v>16</v>
      </c>
      <c r="G103" t="s">
        <v>17</v>
      </c>
      <c r="H103" t="s">
        <v>17</v>
      </c>
      <c r="I103" s="1">
        <v>44653</v>
      </c>
      <c r="J103" t="s">
        <v>17</v>
      </c>
      <c r="K103" t="s">
        <v>42</v>
      </c>
      <c r="L103" t="s">
        <v>24</v>
      </c>
    </row>
    <row r="104" spans="1:12" x14ac:dyDescent="0.25">
      <c r="A104" t="s">
        <v>240</v>
      </c>
      <c r="B104" t="s">
        <v>241</v>
      </c>
      <c r="C104" s="3">
        <v>65224</v>
      </c>
      <c r="D104" t="s">
        <v>27</v>
      </c>
      <c r="E104">
        <v>2022</v>
      </c>
      <c r="F104" t="s">
        <v>16</v>
      </c>
      <c r="G104" t="s">
        <v>17</v>
      </c>
      <c r="H104" t="s">
        <v>17</v>
      </c>
      <c r="I104" s="1">
        <v>44653</v>
      </c>
      <c r="J104" t="s">
        <v>17</v>
      </c>
      <c r="K104" t="s">
        <v>220</v>
      </c>
      <c r="L104" t="s">
        <v>71</v>
      </c>
    </row>
    <row r="105" spans="1:12" x14ac:dyDescent="0.25">
      <c r="A105" t="s">
        <v>242</v>
      </c>
      <c r="B105" t="s">
        <v>74</v>
      </c>
      <c r="C105" s="3">
        <v>44765</v>
      </c>
      <c r="D105" t="s">
        <v>15</v>
      </c>
      <c r="E105">
        <v>2022</v>
      </c>
      <c r="F105" t="s">
        <v>16</v>
      </c>
      <c r="G105" t="s">
        <v>17</v>
      </c>
      <c r="H105" t="s">
        <v>17</v>
      </c>
      <c r="I105" s="1">
        <v>44653</v>
      </c>
      <c r="J105" t="s">
        <v>17</v>
      </c>
      <c r="K105" t="s">
        <v>28</v>
      </c>
      <c r="L105" t="s">
        <v>71</v>
      </c>
    </row>
    <row r="106" spans="1:12" x14ac:dyDescent="0.25">
      <c r="A106" t="s">
        <v>243</v>
      </c>
      <c r="B106" t="s">
        <v>244</v>
      </c>
      <c r="C106" s="3">
        <v>41535</v>
      </c>
      <c r="D106" t="s">
        <v>15</v>
      </c>
      <c r="E106">
        <v>2022</v>
      </c>
      <c r="F106" t="s">
        <v>16</v>
      </c>
      <c r="G106" t="s">
        <v>17</v>
      </c>
      <c r="H106" t="s">
        <v>17</v>
      </c>
      <c r="I106" s="1">
        <v>44653</v>
      </c>
      <c r="J106" t="s">
        <v>17</v>
      </c>
      <c r="K106" t="s">
        <v>23</v>
      </c>
      <c r="L106" t="s">
        <v>31</v>
      </c>
    </row>
    <row r="107" spans="1:12" x14ac:dyDescent="0.25">
      <c r="A107" t="s">
        <v>245</v>
      </c>
      <c r="B107" t="s">
        <v>74</v>
      </c>
      <c r="C107" s="3">
        <v>54449</v>
      </c>
      <c r="D107" t="s">
        <v>15</v>
      </c>
      <c r="E107">
        <v>2022</v>
      </c>
      <c r="F107" t="s">
        <v>16</v>
      </c>
      <c r="G107" t="s">
        <v>17</v>
      </c>
      <c r="H107" t="s">
        <v>17</v>
      </c>
      <c r="I107" s="1">
        <v>44653</v>
      </c>
      <c r="J107" t="s">
        <v>17</v>
      </c>
      <c r="K107" t="s">
        <v>28</v>
      </c>
      <c r="L107" t="s">
        <v>31</v>
      </c>
    </row>
    <row r="108" spans="1:12" x14ac:dyDescent="0.25">
      <c r="A108" t="s">
        <v>246</v>
      </c>
      <c r="B108" t="s">
        <v>175</v>
      </c>
      <c r="C108" s="3">
        <v>48367</v>
      </c>
      <c r="D108" t="s">
        <v>15</v>
      </c>
      <c r="E108">
        <v>2022</v>
      </c>
      <c r="F108" t="s">
        <v>16</v>
      </c>
      <c r="G108" t="s">
        <v>17</v>
      </c>
      <c r="H108" t="s">
        <v>17</v>
      </c>
      <c r="I108" s="1">
        <v>44653</v>
      </c>
      <c r="J108" t="s">
        <v>17</v>
      </c>
      <c r="K108" t="s">
        <v>54</v>
      </c>
      <c r="L108" t="s">
        <v>24</v>
      </c>
    </row>
    <row r="109" spans="1:12" x14ac:dyDescent="0.25">
      <c r="A109" t="s">
        <v>247</v>
      </c>
      <c r="B109" t="s">
        <v>189</v>
      </c>
      <c r="C109" s="3">
        <v>39179</v>
      </c>
      <c r="D109" t="s">
        <v>15</v>
      </c>
      <c r="E109">
        <v>2022</v>
      </c>
      <c r="F109" t="s">
        <v>16</v>
      </c>
      <c r="G109" t="s">
        <v>17</v>
      </c>
      <c r="H109" t="s">
        <v>17</v>
      </c>
      <c r="I109" s="1">
        <v>44653</v>
      </c>
      <c r="J109" t="s">
        <v>17</v>
      </c>
      <c r="K109" t="s">
        <v>28</v>
      </c>
      <c r="L109" t="s">
        <v>24</v>
      </c>
    </row>
    <row r="110" spans="1:12" x14ac:dyDescent="0.25">
      <c r="A110" t="s">
        <v>248</v>
      </c>
      <c r="B110" t="s">
        <v>249</v>
      </c>
      <c r="C110" s="3">
        <v>21490</v>
      </c>
      <c r="D110" t="s">
        <v>27</v>
      </c>
      <c r="E110">
        <v>2022</v>
      </c>
      <c r="F110" t="s">
        <v>16</v>
      </c>
      <c r="G110" t="s">
        <v>17</v>
      </c>
      <c r="H110" t="s">
        <v>17</v>
      </c>
      <c r="I110" s="1">
        <v>44653</v>
      </c>
      <c r="J110" t="s">
        <v>17</v>
      </c>
      <c r="K110" t="s">
        <v>44</v>
      </c>
      <c r="L110" t="s">
        <v>24</v>
      </c>
    </row>
    <row r="111" spans="1:12" hidden="1" x14ac:dyDescent="0.25">
      <c r="A111" t="s">
        <v>250</v>
      </c>
      <c r="B111" t="s">
        <v>251</v>
      </c>
      <c r="C111">
        <v>36797</v>
      </c>
      <c r="D111" t="s">
        <v>15</v>
      </c>
      <c r="E111">
        <v>2022</v>
      </c>
      <c r="F111" t="s">
        <v>16</v>
      </c>
      <c r="G111" t="s">
        <v>17</v>
      </c>
      <c r="H111" t="s">
        <v>17</v>
      </c>
      <c r="I111" s="1">
        <v>44653</v>
      </c>
      <c r="J111" t="s">
        <v>17</v>
      </c>
      <c r="K111" t="s">
        <v>28</v>
      </c>
      <c r="L111" t="s">
        <v>19</v>
      </c>
    </row>
    <row r="112" spans="1:12" x14ac:dyDescent="0.25">
      <c r="A112" t="s">
        <v>252</v>
      </c>
      <c r="B112" t="s">
        <v>103</v>
      </c>
      <c r="C112" s="3">
        <v>8153</v>
      </c>
      <c r="D112" t="s">
        <v>27</v>
      </c>
      <c r="E112">
        <v>2022</v>
      </c>
      <c r="F112" t="s">
        <v>16</v>
      </c>
      <c r="G112" t="s">
        <v>17</v>
      </c>
      <c r="H112" t="s">
        <v>17</v>
      </c>
      <c r="I112" s="1">
        <v>44653</v>
      </c>
      <c r="J112" t="s">
        <v>17</v>
      </c>
      <c r="K112" t="s">
        <v>78</v>
      </c>
      <c r="L112" t="s">
        <v>71</v>
      </c>
    </row>
    <row r="113" spans="1:12" x14ac:dyDescent="0.25">
      <c r="A113" t="s">
        <v>253</v>
      </c>
      <c r="B113" t="s">
        <v>254</v>
      </c>
      <c r="C113" s="3">
        <v>47554</v>
      </c>
      <c r="D113" t="s">
        <v>15</v>
      </c>
      <c r="E113">
        <v>2022</v>
      </c>
      <c r="F113" t="s">
        <v>16</v>
      </c>
      <c r="G113" t="s">
        <v>17</v>
      </c>
      <c r="H113" t="s">
        <v>17</v>
      </c>
      <c r="I113" s="1">
        <v>44653</v>
      </c>
      <c r="J113" t="s">
        <v>17</v>
      </c>
      <c r="K113" t="s">
        <v>60</v>
      </c>
      <c r="L113" t="s">
        <v>31</v>
      </c>
    </row>
    <row r="114" spans="1:12" x14ac:dyDescent="0.25">
      <c r="A114" t="s">
        <v>255</v>
      </c>
      <c r="B114" t="s">
        <v>256</v>
      </c>
      <c r="C114" s="3">
        <v>22261</v>
      </c>
      <c r="D114" t="s">
        <v>113</v>
      </c>
      <c r="E114">
        <v>2022</v>
      </c>
      <c r="F114" t="s">
        <v>16</v>
      </c>
      <c r="G114" t="s">
        <v>17</v>
      </c>
      <c r="H114" t="s">
        <v>17</v>
      </c>
      <c r="I114" s="1">
        <v>44653</v>
      </c>
      <c r="J114" t="s">
        <v>17</v>
      </c>
      <c r="K114" t="s">
        <v>60</v>
      </c>
      <c r="L114" t="s">
        <v>24</v>
      </c>
    </row>
    <row r="115" spans="1:12" x14ac:dyDescent="0.25">
      <c r="A115" t="s">
        <v>257</v>
      </c>
      <c r="B115" t="s">
        <v>258</v>
      </c>
      <c r="C115" s="3">
        <v>22525</v>
      </c>
      <c r="D115" t="s">
        <v>27</v>
      </c>
      <c r="E115">
        <v>2022</v>
      </c>
      <c r="F115" t="s">
        <v>16</v>
      </c>
      <c r="G115" t="s">
        <v>17</v>
      </c>
      <c r="H115" t="s">
        <v>17</v>
      </c>
      <c r="I115" s="1">
        <v>44653</v>
      </c>
      <c r="J115" t="s">
        <v>17</v>
      </c>
      <c r="K115" t="s">
        <v>259</v>
      </c>
      <c r="L115" t="s">
        <v>71</v>
      </c>
    </row>
    <row r="116" spans="1:12" x14ac:dyDescent="0.25">
      <c r="A116" t="s">
        <v>260</v>
      </c>
      <c r="B116" t="s">
        <v>261</v>
      </c>
      <c r="C116" s="3">
        <v>22876</v>
      </c>
      <c r="D116" t="s">
        <v>15</v>
      </c>
      <c r="E116">
        <v>2022</v>
      </c>
      <c r="F116" t="s">
        <v>16</v>
      </c>
      <c r="G116" t="s">
        <v>17</v>
      </c>
      <c r="H116" t="s">
        <v>17</v>
      </c>
      <c r="I116" s="1">
        <v>44653</v>
      </c>
      <c r="J116" t="s">
        <v>17</v>
      </c>
      <c r="K116" t="s">
        <v>28</v>
      </c>
      <c r="L116" t="s">
        <v>71</v>
      </c>
    </row>
    <row r="117" spans="1:12" hidden="1" x14ac:dyDescent="0.25">
      <c r="A117" t="s">
        <v>262</v>
      </c>
      <c r="B117" t="s">
        <v>43</v>
      </c>
      <c r="C117">
        <v>60390</v>
      </c>
      <c r="D117" t="s">
        <v>15</v>
      </c>
      <c r="E117">
        <v>2022</v>
      </c>
      <c r="F117" t="s">
        <v>16</v>
      </c>
      <c r="G117" t="s">
        <v>17</v>
      </c>
      <c r="H117" t="s">
        <v>17</v>
      </c>
      <c r="I117" s="1">
        <v>44653</v>
      </c>
      <c r="J117" t="s">
        <v>17</v>
      </c>
      <c r="K117" t="s">
        <v>18</v>
      </c>
      <c r="L117" t="s">
        <v>19</v>
      </c>
    </row>
    <row r="118" spans="1:12" hidden="1" x14ac:dyDescent="0.25">
      <c r="A118" t="s">
        <v>263</v>
      </c>
      <c r="B118" t="s">
        <v>264</v>
      </c>
      <c r="C118">
        <v>37875</v>
      </c>
      <c r="D118" t="s">
        <v>15</v>
      </c>
      <c r="E118">
        <v>2022</v>
      </c>
      <c r="F118" t="s">
        <v>16</v>
      </c>
      <c r="G118" t="s">
        <v>17</v>
      </c>
      <c r="H118" t="s">
        <v>17</v>
      </c>
      <c r="I118" s="1">
        <v>44653</v>
      </c>
      <c r="J118" t="s">
        <v>17</v>
      </c>
      <c r="K118" t="s">
        <v>123</v>
      </c>
      <c r="L118" t="s">
        <v>19</v>
      </c>
    </row>
    <row r="119" spans="1:12" x14ac:dyDescent="0.25">
      <c r="A119" t="s">
        <v>265</v>
      </c>
      <c r="B119" t="s">
        <v>266</v>
      </c>
      <c r="C119" s="3">
        <v>23164</v>
      </c>
      <c r="D119" t="s">
        <v>27</v>
      </c>
      <c r="E119">
        <v>2022</v>
      </c>
      <c r="F119" t="s">
        <v>16</v>
      </c>
      <c r="G119" t="s">
        <v>17</v>
      </c>
      <c r="H119" t="s">
        <v>17</v>
      </c>
      <c r="I119" s="1">
        <v>44653</v>
      </c>
      <c r="J119" t="s">
        <v>17</v>
      </c>
      <c r="K119" t="s">
        <v>176</v>
      </c>
      <c r="L119" t="s">
        <v>71</v>
      </c>
    </row>
    <row r="120" spans="1:12" x14ac:dyDescent="0.25">
      <c r="A120" t="s">
        <v>267</v>
      </c>
      <c r="B120" t="s">
        <v>268</v>
      </c>
      <c r="C120" s="3">
        <v>25009</v>
      </c>
      <c r="D120" t="s">
        <v>27</v>
      </c>
      <c r="E120">
        <v>2022</v>
      </c>
      <c r="F120" t="s">
        <v>16</v>
      </c>
      <c r="G120" t="s">
        <v>17</v>
      </c>
      <c r="H120" t="s">
        <v>17</v>
      </c>
      <c r="I120" s="1">
        <v>44653</v>
      </c>
      <c r="J120" t="s">
        <v>17</v>
      </c>
      <c r="K120" t="s">
        <v>204</v>
      </c>
      <c r="L120" t="s">
        <v>24</v>
      </c>
    </row>
    <row r="121" spans="1:12" x14ac:dyDescent="0.25">
      <c r="A121" t="s">
        <v>269</v>
      </c>
      <c r="B121" t="s">
        <v>103</v>
      </c>
      <c r="C121" s="3">
        <v>47174</v>
      </c>
      <c r="D121" t="s">
        <v>15</v>
      </c>
      <c r="E121">
        <v>2022</v>
      </c>
      <c r="F121" t="s">
        <v>16</v>
      </c>
      <c r="G121" t="s">
        <v>17</v>
      </c>
      <c r="H121" t="s">
        <v>17</v>
      </c>
      <c r="I121" s="1">
        <v>44653</v>
      </c>
      <c r="J121" t="s">
        <v>17</v>
      </c>
      <c r="K121" t="s">
        <v>28</v>
      </c>
      <c r="L121" t="s">
        <v>71</v>
      </c>
    </row>
    <row r="122" spans="1:12" hidden="1" x14ac:dyDescent="0.25">
      <c r="A122" t="s">
        <v>270</v>
      </c>
      <c r="B122" t="s">
        <v>271</v>
      </c>
      <c r="C122">
        <v>35422</v>
      </c>
      <c r="D122" t="s">
        <v>15</v>
      </c>
      <c r="E122">
        <v>2022</v>
      </c>
      <c r="F122" t="s">
        <v>16</v>
      </c>
      <c r="G122" t="s">
        <v>17</v>
      </c>
      <c r="H122" t="s">
        <v>17</v>
      </c>
      <c r="I122" s="1">
        <v>44653</v>
      </c>
      <c r="J122" t="s">
        <v>17</v>
      </c>
      <c r="K122" t="s">
        <v>18</v>
      </c>
      <c r="L122" t="s">
        <v>19</v>
      </c>
    </row>
    <row r="123" spans="1:12" x14ac:dyDescent="0.25">
      <c r="A123" t="s">
        <v>272</v>
      </c>
      <c r="B123" t="s">
        <v>273</v>
      </c>
      <c r="C123" s="3">
        <v>32519</v>
      </c>
      <c r="D123" t="s">
        <v>15</v>
      </c>
      <c r="E123">
        <v>2022</v>
      </c>
      <c r="F123" t="s">
        <v>16</v>
      </c>
      <c r="G123" t="s">
        <v>17</v>
      </c>
      <c r="H123" t="s">
        <v>17</v>
      </c>
      <c r="I123" s="1">
        <v>44653</v>
      </c>
      <c r="J123" t="s">
        <v>17</v>
      </c>
      <c r="K123" t="s">
        <v>28</v>
      </c>
      <c r="L123" t="s">
        <v>24</v>
      </c>
    </row>
    <row r="124" spans="1:12" hidden="1" x14ac:dyDescent="0.25">
      <c r="A124" t="s">
        <v>274</v>
      </c>
      <c r="B124" t="s">
        <v>275</v>
      </c>
      <c r="C124">
        <v>97430</v>
      </c>
      <c r="D124" t="s">
        <v>27</v>
      </c>
      <c r="E124">
        <v>2022</v>
      </c>
      <c r="F124" t="s">
        <v>16</v>
      </c>
      <c r="G124" t="s">
        <v>17</v>
      </c>
      <c r="H124" t="s">
        <v>17</v>
      </c>
      <c r="I124" s="1">
        <v>44653</v>
      </c>
      <c r="J124" t="s">
        <v>17</v>
      </c>
      <c r="K124" t="s">
        <v>28</v>
      </c>
      <c r="L124" t="s">
        <v>19</v>
      </c>
    </row>
    <row r="125" spans="1:12" x14ac:dyDescent="0.25">
      <c r="A125" t="s">
        <v>276</v>
      </c>
      <c r="B125" t="s">
        <v>277</v>
      </c>
      <c r="C125" s="3">
        <v>49996</v>
      </c>
      <c r="D125" t="s">
        <v>15</v>
      </c>
      <c r="E125">
        <v>2022</v>
      </c>
      <c r="F125" t="s">
        <v>16</v>
      </c>
      <c r="G125" t="s">
        <v>17</v>
      </c>
      <c r="H125" t="s">
        <v>17</v>
      </c>
      <c r="I125" s="1">
        <v>44653</v>
      </c>
      <c r="J125" t="s">
        <v>17</v>
      </c>
      <c r="K125" t="s">
        <v>278</v>
      </c>
      <c r="L125" t="s">
        <v>24</v>
      </c>
    </row>
    <row r="126" spans="1:12" hidden="1" x14ac:dyDescent="0.25">
      <c r="A126" t="s">
        <v>279</v>
      </c>
      <c r="B126" t="s">
        <v>280</v>
      </c>
      <c r="C126">
        <v>24975</v>
      </c>
      <c r="D126" t="s">
        <v>27</v>
      </c>
      <c r="E126">
        <v>2022</v>
      </c>
      <c r="F126" t="s">
        <v>16</v>
      </c>
      <c r="G126" t="s">
        <v>17</v>
      </c>
      <c r="H126" t="s">
        <v>17</v>
      </c>
      <c r="I126" s="1">
        <v>44653</v>
      </c>
      <c r="J126" t="s">
        <v>17</v>
      </c>
      <c r="K126" t="s">
        <v>28</v>
      </c>
      <c r="L126" t="s">
        <v>19</v>
      </c>
    </row>
    <row r="127" spans="1:12" x14ac:dyDescent="0.25">
      <c r="A127" t="s">
        <v>281</v>
      </c>
      <c r="B127" t="s">
        <v>163</v>
      </c>
      <c r="C127" s="3">
        <v>24162</v>
      </c>
      <c r="D127" t="s">
        <v>27</v>
      </c>
      <c r="E127">
        <v>2022</v>
      </c>
      <c r="F127" t="s">
        <v>16</v>
      </c>
      <c r="G127" t="s">
        <v>17</v>
      </c>
      <c r="H127" t="s">
        <v>17</v>
      </c>
      <c r="I127" s="1">
        <v>44653</v>
      </c>
      <c r="J127" t="s">
        <v>17</v>
      </c>
      <c r="K127" t="s">
        <v>173</v>
      </c>
      <c r="L127" t="s">
        <v>71</v>
      </c>
    </row>
    <row r="128" spans="1:12" x14ac:dyDescent="0.25">
      <c r="A128" t="s">
        <v>282</v>
      </c>
      <c r="B128" t="s">
        <v>283</v>
      </c>
      <c r="C128" s="3">
        <v>53590</v>
      </c>
      <c r="D128" t="s">
        <v>15</v>
      </c>
      <c r="E128">
        <v>2022</v>
      </c>
      <c r="F128" t="s">
        <v>16</v>
      </c>
      <c r="G128" t="s">
        <v>17</v>
      </c>
      <c r="H128" t="s">
        <v>17</v>
      </c>
      <c r="I128" s="1">
        <v>44653</v>
      </c>
      <c r="J128" t="s">
        <v>17</v>
      </c>
      <c r="K128" t="s">
        <v>23</v>
      </c>
      <c r="L128" t="s">
        <v>24</v>
      </c>
    </row>
    <row r="129" spans="1:12" hidden="1" x14ac:dyDescent="0.25">
      <c r="A129" t="s">
        <v>284</v>
      </c>
      <c r="B129" t="s">
        <v>285</v>
      </c>
      <c r="C129">
        <v>47208</v>
      </c>
      <c r="D129" t="s">
        <v>15</v>
      </c>
      <c r="E129">
        <v>2022</v>
      </c>
      <c r="F129" t="s">
        <v>16</v>
      </c>
      <c r="G129" t="s">
        <v>17</v>
      </c>
      <c r="H129" t="s">
        <v>17</v>
      </c>
      <c r="I129" s="1">
        <v>44653</v>
      </c>
      <c r="J129" t="s">
        <v>17</v>
      </c>
      <c r="K129" t="s">
        <v>286</v>
      </c>
      <c r="L129" t="s">
        <v>19</v>
      </c>
    </row>
    <row r="130" spans="1:12" x14ac:dyDescent="0.25">
      <c r="A130" t="s">
        <v>287</v>
      </c>
      <c r="B130" t="s">
        <v>288</v>
      </c>
      <c r="C130" s="3">
        <v>86481</v>
      </c>
      <c r="D130" t="s">
        <v>27</v>
      </c>
      <c r="E130">
        <v>2022</v>
      </c>
      <c r="F130" t="s">
        <v>16</v>
      </c>
      <c r="G130" t="s">
        <v>17</v>
      </c>
      <c r="H130" t="s">
        <v>17</v>
      </c>
      <c r="I130" s="1">
        <v>44653</v>
      </c>
      <c r="J130" t="s">
        <v>17</v>
      </c>
      <c r="K130" t="s">
        <v>289</v>
      </c>
      <c r="L130" t="s">
        <v>71</v>
      </c>
    </row>
    <row r="131" spans="1:12" x14ac:dyDescent="0.25">
      <c r="A131" t="s">
        <v>290</v>
      </c>
      <c r="B131" t="s">
        <v>183</v>
      </c>
      <c r="C131" s="3">
        <v>53582</v>
      </c>
      <c r="D131" t="s">
        <v>15</v>
      </c>
      <c r="E131">
        <v>2022</v>
      </c>
      <c r="F131" t="s">
        <v>16</v>
      </c>
      <c r="G131" t="s">
        <v>17</v>
      </c>
      <c r="H131" t="s">
        <v>17</v>
      </c>
      <c r="I131" s="1">
        <v>44653</v>
      </c>
      <c r="J131" t="s">
        <v>17</v>
      </c>
      <c r="K131" t="s">
        <v>23</v>
      </c>
      <c r="L131" t="s">
        <v>24</v>
      </c>
    </row>
    <row r="132" spans="1:12" x14ac:dyDescent="0.25">
      <c r="A132" t="s">
        <v>291</v>
      </c>
      <c r="B132" t="s">
        <v>292</v>
      </c>
      <c r="C132" s="3">
        <v>97223</v>
      </c>
      <c r="D132" t="s">
        <v>101</v>
      </c>
      <c r="E132">
        <v>2022</v>
      </c>
      <c r="F132" t="s">
        <v>16</v>
      </c>
      <c r="G132" t="s">
        <v>17</v>
      </c>
      <c r="H132" t="s">
        <v>17</v>
      </c>
      <c r="I132" s="1">
        <v>44653</v>
      </c>
      <c r="J132" t="s">
        <v>17</v>
      </c>
      <c r="K132" t="s">
        <v>28</v>
      </c>
      <c r="L132" t="s">
        <v>71</v>
      </c>
    </row>
    <row r="133" spans="1:12" x14ac:dyDescent="0.25">
      <c r="A133" t="s">
        <v>293</v>
      </c>
      <c r="B133" t="s">
        <v>163</v>
      </c>
      <c r="C133" s="3">
        <v>26018</v>
      </c>
      <c r="D133" t="s">
        <v>27</v>
      </c>
      <c r="E133">
        <v>2022</v>
      </c>
      <c r="F133" t="s">
        <v>16</v>
      </c>
      <c r="G133" t="s">
        <v>17</v>
      </c>
      <c r="H133" t="s">
        <v>17</v>
      </c>
      <c r="I133" s="1">
        <v>44653</v>
      </c>
      <c r="J133" t="s">
        <v>17</v>
      </c>
      <c r="K133" t="s">
        <v>137</v>
      </c>
      <c r="L133" t="s">
        <v>24</v>
      </c>
    </row>
    <row r="134" spans="1:12" x14ac:dyDescent="0.25">
      <c r="A134" t="s">
        <v>294</v>
      </c>
      <c r="B134" t="s">
        <v>295</v>
      </c>
      <c r="C134" s="3">
        <v>50650</v>
      </c>
      <c r="D134" t="s">
        <v>15</v>
      </c>
      <c r="E134">
        <v>2022</v>
      </c>
      <c r="F134" t="s">
        <v>16</v>
      </c>
      <c r="G134" t="s">
        <v>17</v>
      </c>
      <c r="H134" t="s">
        <v>17</v>
      </c>
      <c r="I134" s="1">
        <v>44653</v>
      </c>
      <c r="J134" t="s">
        <v>17</v>
      </c>
      <c r="K134" t="s">
        <v>230</v>
      </c>
      <c r="L134" t="s">
        <v>24</v>
      </c>
    </row>
    <row r="135" spans="1:12" x14ac:dyDescent="0.25">
      <c r="A135" t="s">
        <v>296</v>
      </c>
      <c r="B135" t="s">
        <v>92</v>
      </c>
      <c r="C135" s="3">
        <v>44114</v>
      </c>
      <c r="D135" t="s">
        <v>15</v>
      </c>
      <c r="E135">
        <v>2022</v>
      </c>
      <c r="F135" t="s">
        <v>16</v>
      </c>
      <c r="G135" t="s">
        <v>17</v>
      </c>
      <c r="H135" t="s">
        <v>17</v>
      </c>
      <c r="I135" s="1">
        <v>44653</v>
      </c>
      <c r="J135" t="s">
        <v>17</v>
      </c>
      <c r="K135" t="s">
        <v>28</v>
      </c>
      <c r="L135" t="s">
        <v>24</v>
      </c>
    </row>
    <row r="136" spans="1:12" x14ac:dyDescent="0.25">
      <c r="A136" t="s">
        <v>297</v>
      </c>
      <c r="B136" t="s">
        <v>43</v>
      </c>
      <c r="C136" s="3">
        <v>53592</v>
      </c>
      <c r="D136" t="s">
        <v>15</v>
      </c>
      <c r="E136">
        <v>2022</v>
      </c>
      <c r="F136" t="s">
        <v>16</v>
      </c>
      <c r="G136" t="s">
        <v>17</v>
      </c>
      <c r="H136" t="s">
        <v>17</v>
      </c>
      <c r="I136" s="1">
        <v>44653</v>
      </c>
      <c r="J136" t="s">
        <v>17</v>
      </c>
      <c r="K136" t="s">
        <v>23</v>
      </c>
      <c r="L136" t="s">
        <v>31</v>
      </c>
    </row>
    <row r="137" spans="1:12" hidden="1" x14ac:dyDescent="0.25">
      <c r="A137" t="s">
        <v>298</v>
      </c>
      <c r="B137" t="s">
        <v>299</v>
      </c>
      <c r="C137">
        <v>43731</v>
      </c>
      <c r="D137" t="s">
        <v>15</v>
      </c>
      <c r="E137">
        <v>2022</v>
      </c>
      <c r="F137" t="s">
        <v>16</v>
      </c>
      <c r="G137" t="s">
        <v>17</v>
      </c>
      <c r="H137" t="s">
        <v>17</v>
      </c>
      <c r="I137" s="1">
        <v>44653</v>
      </c>
      <c r="J137" t="s">
        <v>17</v>
      </c>
      <c r="K137" t="s">
        <v>18</v>
      </c>
      <c r="L137" t="s">
        <v>19</v>
      </c>
    </row>
    <row r="138" spans="1:12" x14ac:dyDescent="0.25">
      <c r="A138" t="s">
        <v>300</v>
      </c>
      <c r="B138" t="s">
        <v>301</v>
      </c>
      <c r="C138" s="3">
        <v>32459</v>
      </c>
      <c r="D138" t="s">
        <v>15</v>
      </c>
      <c r="E138">
        <v>2022</v>
      </c>
      <c r="F138" t="s">
        <v>16</v>
      </c>
      <c r="G138" t="s">
        <v>17</v>
      </c>
      <c r="H138" t="s">
        <v>17</v>
      </c>
      <c r="I138" s="1">
        <v>44653</v>
      </c>
      <c r="J138" t="s">
        <v>17</v>
      </c>
      <c r="K138" t="s">
        <v>63</v>
      </c>
      <c r="L138" t="s">
        <v>24</v>
      </c>
    </row>
    <row r="139" spans="1:12" x14ac:dyDescent="0.25">
      <c r="A139" t="s">
        <v>302</v>
      </c>
      <c r="B139" t="s">
        <v>303</v>
      </c>
      <c r="C139" s="3">
        <v>97373</v>
      </c>
      <c r="D139" t="s">
        <v>27</v>
      </c>
      <c r="E139">
        <v>2022</v>
      </c>
      <c r="F139" t="s">
        <v>16</v>
      </c>
      <c r="G139" t="s">
        <v>17</v>
      </c>
      <c r="H139" t="s">
        <v>17</v>
      </c>
      <c r="I139" s="1">
        <v>44653</v>
      </c>
      <c r="J139" t="s">
        <v>17</v>
      </c>
      <c r="K139" t="s">
        <v>28</v>
      </c>
      <c r="L139" t="s">
        <v>71</v>
      </c>
    </row>
    <row r="140" spans="1:12" x14ac:dyDescent="0.25">
      <c r="A140" t="s">
        <v>304</v>
      </c>
      <c r="B140" t="s">
        <v>283</v>
      </c>
      <c r="C140" s="3">
        <v>47546</v>
      </c>
      <c r="D140" t="s">
        <v>15</v>
      </c>
      <c r="E140">
        <v>2022</v>
      </c>
      <c r="F140" t="s">
        <v>16</v>
      </c>
      <c r="G140" t="s">
        <v>17</v>
      </c>
      <c r="H140" t="s">
        <v>17</v>
      </c>
      <c r="I140" s="1">
        <v>44653</v>
      </c>
      <c r="J140" t="s">
        <v>17</v>
      </c>
      <c r="K140" t="s">
        <v>23</v>
      </c>
      <c r="L140" t="s">
        <v>24</v>
      </c>
    </row>
    <row r="141" spans="1:12" hidden="1" x14ac:dyDescent="0.25">
      <c r="A141" t="s">
        <v>305</v>
      </c>
      <c r="B141" t="s">
        <v>306</v>
      </c>
      <c r="C141">
        <v>62744</v>
      </c>
      <c r="D141" t="s">
        <v>15</v>
      </c>
      <c r="E141">
        <v>2022</v>
      </c>
      <c r="F141" t="s">
        <v>16</v>
      </c>
      <c r="G141" t="s">
        <v>17</v>
      </c>
      <c r="H141" t="s">
        <v>17</v>
      </c>
      <c r="I141" s="1">
        <v>44653</v>
      </c>
      <c r="J141" t="s">
        <v>17</v>
      </c>
      <c r="K141" t="s">
        <v>93</v>
      </c>
      <c r="L141" t="s">
        <v>19</v>
      </c>
    </row>
    <row r="142" spans="1:12" x14ac:dyDescent="0.25">
      <c r="A142" t="s">
        <v>307</v>
      </c>
      <c r="B142" t="s">
        <v>308</v>
      </c>
      <c r="C142" s="3">
        <v>51139</v>
      </c>
      <c r="D142" t="s">
        <v>15</v>
      </c>
      <c r="E142">
        <v>2022</v>
      </c>
      <c r="F142" t="s">
        <v>16</v>
      </c>
      <c r="G142" t="s">
        <v>17</v>
      </c>
      <c r="H142" t="s">
        <v>17</v>
      </c>
      <c r="I142" s="1">
        <v>44653</v>
      </c>
      <c r="J142" t="s">
        <v>17</v>
      </c>
      <c r="K142" t="s">
        <v>28</v>
      </c>
      <c r="L142" t="s">
        <v>31</v>
      </c>
    </row>
    <row r="143" spans="1:12" x14ac:dyDescent="0.25">
      <c r="A143" t="s">
        <v>309</v>
      </c>
      <c r="B143" t="s">
        <v>310</v>
      </c>
      <c r="C143" s="3">
        <v>27545</v>
      </c>
      <c r="D143" t="s">
        <v>27</v>
      </c>
      <c r="E143">
        <v>2022</v>
      </c>
      <c r="F143" t="s">
        <v>16</v>
      </c>
      <c r="G143" t="s">
        <v>17</v>
      </c>
      <c r="H143" t="s">
        <v>17</v>
      </c>
      <c r="I143" s="1">
        <v>44653</v>
      </c>
      <c r="J143" t="s">
        <v>17</v>
      </c>
      <c r="K143" t="s">
        <v>104</v>
      </c>
      <c r="L143" t="s">
        <v>24</v>
      </c>
    </row>
    <row r="144" spans="1:12" x14ac:dyDescent="0.25">
      <c r="A144" t="s">
        <v>311</v>
      </c>
      <c r="B144" t="s">
        <v>312</v>
      </c>
      <c r="C144" s="3">
        <v>60112</v>
      </c>
      <c r="D144" t="s">
        <v>15</v>
      </c>
      <c r="E144">
        <v>2022</v>
      </c>
      <c r="F144" t="s">
        <v>16</v>
      </c>
      <c r="G144" t="s">
        <v>17</v>
      </c>
      <c r="H144" t="s">
        <v>17</v>
      </c>
      <c r="I144" s="1">
        <v>44653</v>
      </c>
      <c r="J144" t="s">
        <v>17</v>
      </c>
      <c r="K144" t="s">
        <v>37</v>
      </c>
      <c r="L144" t="s">
        <v>24</v>
      </c>
    </row>
    <row r="145" spans="1:12" x14ac:dyDescent="0.25">
      <c r="A145" t="s">
        <v>313</v>
      </c>
      <c r="B145" t="s">
        <v>314</v>
      </c>
      <c r="C145" s="3">
        <v>38781</v>
      </c>
      <c r="D145" t="s">
        <v>15</v>
      </c>
      <c r="E145">
        <v>2022</v>
      </c>
      <c r="F145" t="s">
        <v>16</v>
      </c>
      <c r="G145" t="s">
        <v>17</v>
      </c>
      <c r="H145" t="s">
        <v>17</v>
      </c>
      <c r="I145" s="1">
        <v>44653</v>
      </c>
      <c r="J145" t="s">
        <v>17</v>
      </c>
      <c r="K145" t="s">
        <v>68</v>
      </c>
      <c r="L145" t="s">
        <v>24</v>
      </c>
    </row>
    <row r="146" spans="1:12" hidden="1" x14ac:dyDescent="0.25">
      <c r="A146" t="s">
        <v>315</v>
      </c>
      <c r="B146" t="s">
        <v>316</v>
      </c>
      <c r="C146">
        <v>50287</v>
      </c>
      <c r="D146" t="s">
        <v>15</v>
      </c>
      <c r="E146">
        <v>2022</v>
      </c>
      <c r="F146" t="s">
        <v>16</v>
      </c>
      <c r="G146" t="s">
        <v>17</v>
      </c>
      <c r="H146" t="s">
        <v>17</v>
      </c>
      <c r="I146" s="1">
        <v>44653</v>
      </c>
      <c r="J146" t="s">
        <v>17</v>
      </c>
      <c r="K146" t="s">
        <v>37</v>
      </c>
      <c r="L146" t="s">
        <v>19</v>
      </c>
    </row>
    <row r="147" spans="1:12" x14ac:dyDescent="0.25">
      <c r="A147" t="s">
        <v>315</v>
      </c>
      <c r="B147" t="s">
        <v>317</v>
      </c>
      <c r="C147" s="3">
        <v>34660</v>
      </c>
      <c r="D147" t="s">
        <v>15</v>
      </c>
      <c r="E147">
        <v>2022</v>
      </c>
      <c r="F147" t="s">
        <v>16</v>
      </c>
      <c r="G147" t="s">
        <v>17</v>
      </c>
      <c r="H147" t="s">
        <v>17</v>
      </c>
      <c r="I147" s="1">
        <v>44653</v>
      </c>
      <c r="J147" t="s">
        <v>17</v>
      </c>
      <c r="K147" t="s">
        <v>37</v>
      </c>
      <c r="L147" t="s">
        <v>31</v>
      </c>
    </row>
    <row r="148" spans="1:12" x14ac:dyDescent="0.25">
      <c r="A148" t="s">
        <v>318</v>
      </c>
      <c r="B148" t="s">
        <v>280</v>
      </c>
      <c r="C148" s="3">
        <v>34214</v>
      </c>
      <c r="D148" t="s">
        <v>15</v>
      </c>
      <c r="E148">
        <v>2022</v>
      </c>
      <c r="F148" t="s">
        <v>16</v>
      </c>
      <c r="G148" t="s">
        <v>17</v>
      </c>
      <c r="H148" t="s">
        <v>17</v>
      </c>
      <c r="I148" s="1">
        <v>44653</v>
      </c>
      <c r="J148" t="s">
        <v>17</v>
      </c>
      <c r="K148" t="s">
        <v>23</v>
      </c>
      <c r="L148" t="s">
        <v>31</v>
      </c>
    </row>
    <row r="149" spans="1:12" hidden="1" x14ac:dyDescent="0.25">
      <c r="A149" t="s">
        <v>319</v>
      </c>
      <c r="B149" t="s">
        <v>43</v>
      </c>
      <c r="C149">
        <v>4068</v>
      </c>
      <c r="D149" t="s">
        <v>27</v>
      </c>
      <c r="E149">
        <v>2022</v>
      </c>
      <c r="F149" t="s">
        <v>16</v>
      </c>
      <c r="G149" t="s">
        <v>17</v>
      </c>
      <c r="H149" t="s">
        <v>17</v>
      </c>
      <c r="I149" s="1">
        <v>44653</v>
      </c>
      <c r="J149" t="s">
        <v>17</v>
      </c>
      <c r="K149" t="s">
        <v>28</v>
      </c>
      <c r="L149" t="s">
        <v>19</v>
      </c>
    </row>
    <row r="150" spans="1:12" x14ac:dyDescent="0.25">
      <c r="A150" t="s">
        <v>320</v>
      </c>
      <c r="B150" t="s">
        <v>321</v>
      </c>
      <c r="C150" s="3">
        <v>59303</v>
      </c>
      <c r="D150" t="s">
        <v>27</v>
      </c>
      <c r="E150">
        <v>2022</v>
      </c>
      <c r="F150" t="s">
        <v>16</v>
      </c>
      <c r="G150" t="s">
        <v>17</v>
      </c>
      <c r="H150" t="s">
        <v>17</v>
      </c>
      <c r="I150" s="1">
        <v>44653</v>
      </c>
      <c r="J150" t="s">
        <v>17</v>
      </c>
      <c r="K150" t="s">
        <v>227</v>
      </c>
      <c r="L150" t="s">
        <v>71</v>
      </c>
    </row>
    <row r="151" spans="1:12" x14ac:dyDescent="0.25">
      <c r="A151" t="s">
        <v>322</v>
      </c>
      <c r="B151" t="s">
        <v>323</v>
      </c>
      <c r="C151" s="3">
        <v>41160</v>
      </c>
      <c r="D151" t="s">
        <v>15</v>
      </c>
      <c r="E151">
        <v>2022</v>
      </c>
      <c r="F151" t="s">
        <v>16</v>
      </c>
      <c r="G151" t="s">
        <v>17</v>
      </c>
      <c r="H151" t="s">
        <v>17</v>
      </c>
      <c r="I151" s="1">
        <v>44653</v>
      </c>
      <c r="J151" t="s">
        <v>17</v>
      </c>
      <c r="K151" t="s">
        <v>23</v>
      </c>
      <c r="L151" t="s">
        <v>24</v>
      </c>
    </row>
    <row r="152" spans="1:12" x14ac:dyDescent="0.25">
      <c r="A152" t="s">
        <v>324</v>
      </c>
      <c r="B152" t="s">
        <v>111</v>
      </c>
      <c r="C152" s="3">
        <v>44992</v>
      </c>
      <c r="D152" t="s">
        <v>15</v>
      </c>
      <c r="E152">
        <v>2022</v>
      </c>
      <c r="F152" t="s">
        <v>16</v>
      </c>
      <c r="G152" t="s">
        <v>17</v>
      </c>
      <c r="H152" t="s">
        <v>17</v>
      </c>
      <c r="I152" s="1">
        <v>44653</v>
      </c>
      <c r="J152" t="s">
        <v>17</v>
      </c>
      <c r="K152" t="s">
        <v>28</v>
      </c>
      <c r="L152" t="s">
        <v>31</v>
      </c>
    </row>
    <row r="153" spans="1:12" x14ac:dyDescent="0.25">
      <c r="A153" t="s">
        <v>325</v>
      </c>
      <c r="B153" t="s">
        <v>264</v>
      </c>
      <c r="C153" s="3">
        <v>53917</v>
      </c>
      <c r="D153" t="s">
        <v>15</v>
      </c>
      <c r="E153">
        <v>2022</v>
      </c>
      <c r="F153" t="s">
        <v>16</v>
      </c>
      <c r="G153" t="s">
        <v>17</v>
      </c>
      <c r="H153" t="s">
        <v>17</v>
      </c>
      <c r="I153" s="1">
        <v>44653</v>
      </c>
      <c r="J153" t="s">
        <v>17</v>
      </c>
      <c r="K153" t="s">
        <v>23</v>
      </c>
      <c r="L153" t="s">
        <v>31</v>
      </c>
    </row>
    <row r="154" spans="1:12" x14ac:dyDescent="0.25">
      <c r="A154" t="s">
        <v>326</v>
      </c>
      <c r="B154" t="s">
        <v>254</v>
      </c>
      <c r="C154" s="3">
        <v>97752</v>
      </c>
      <c r="D154" t="s">
        <v>15</v>
      </c>
      <c r="E154">
        <v>2022</v>
      </c>
      <c r="F154" t="s">
        <v>16</v>
      </c>
      <c r="G154" t="s">
        <v>17</v>
      </c>
      <c r="H154" t="s">
        <v>17</v>
      </c>
      <c r="I154" s="1">
        <v>44653</v>
      </c>
      <c r="J154" t="s">
        <v>17</v>
      </c>
      <c r="K154" t="s">
        <v>28</v>
      </c>
      <c r="L154" t="s">
        <v>24</v>
      </c>
    </row>
    <row r="155" spans="1:12" x14ac:dyDescent="0.25">
      <c r="A155" t="s">
        <v>327</v>
      </c>
      <c r="B155" t="s">
        <v>328</v>
      </c>
      <c r="C155" s="3">
        <v>28833</v>
      </c>
      <c r="D155" t="s">
        <v>27</v>
      </c>
      <c r="E155">
        <v>2022</v>
      </c>
      <c r="F155" t="s">
        <v>16</v>
      </c>
      <c r="G155" t="s">
        <v>17</v>
      </c>
      <c r="H155" t="s">
        <v>17</v>
      </c>
      <c r="I155" s="1">
        <v>44653</v>
      </c>
      <c r="J155" t="s">
        <v>17</v>
      </c>
      <c r="K155" t="s">
        <v>44</v>
      </c>
      <c r="L155" t="s">
        <v>71</v>
      </c>
    </row>
    <row r="156" spans="1:12" x14ac:dyDescent="0.25">
      <c r="A156" t="s">
        <v>329</v>
      </c>
      <c r="B156" t="s">
        <v>330</v>
      </c>
      <c r="C156" s="3">
        <v>32601</v>
      </c>
      <c r="D156" t="s">
        <v>15</v>
      </c>
      <c r="E156">
        <v>2022</v>
      </c>
      <c r="F156" t="s">
        <v>16</v>
      </c>
      <c r="G156" t="s">
        <v>17</v>
      </c>
      <c r="H156" t="s">
        <v>17</v>
      </c>
      <c r="I156" s="1">
        <v>44653</v>
      </c>
      <c r="J156" t="s">
        <v>17</v>
      </c>
      <c r="K156" t="s">
        <v>28</v>
      </c>
      <c r="L156" t="s">
        <v>71</v>
      </c>
    </row>
    <row r="157" spans="1:12" x14ac:dyDescent="0.25">
      <c r="A157" t="s">
        <v>331</v>
      </c>
      <c r="B157" t="s">
        <v>332</v>
      </c>
      <c r="C157" s="3">
        <v>51691</v>
      </c>
      <c r="D157" t="s">
        <v>15</v>
      </c>
      <c r="E157">
        <v>2022</v>
      </c>
      <c r="F157" t="s">
        <v>16</v>
      </c>
      <c r="G157" t="s">
        <v>17</v>
      </c>
      <c r="H157" t="s">
        <v>17</v>
      </c>
      <c r="I157" s="1">
        <v>44653</v>
      </c>
      <c r="J157" t="s">
        <v>17</v>
      </c>
      <c r="K157" t="s">
        <v>23</v>
      </c>
      <c r="L157" t="s">
        <v>24</v>
      </c>
    </row>
    <row r="158" spans="1:12" hidden="1" x14ac:dyDescent="0.25">
      <c r="A158" t="s">
        <v>333</v>
      </c>
      <c r="B158" t="s">
        <v>334</v>
      </c>
      <c r="C158">
        <v>29077</v>
      </c>
      <c r="D158" t="s">
        <v>15</v>
      </c>
      <c r="E158">
        <v>2022</v>
      </c>
      <c r="F158" t="s">
        <v>16</v>
      </c>
      <c r="G158" t="s">
        <v>17</v>
      </c>
      <c r="H158" t="s">
        <v>17</v>
      </c>
      <c r="I158" s="1">
        <v>44653</v>
      </c>
      <c r="J158" t="s">
        <v>17</v>
      </c>
      <c r="K158" t="s">
        <v>37</v>
      </c>
      <c r="L158" t="s">
        <v>19</v>
      </c>
    </row>
    <row r="159" spans="1:12" x14ac:dyDescent="0.25">
      <c r="A159" t="s">
        <v>335</v>
      </c>
      <c r="B159" t="s">
        <v>234</v>
      </c>
      <c r="C159" s="3">
        <v>58109</v>
      </c>
      <c r="D159" t="s">
        <v>336</v>
      </c>
      <c r="E159">
        <v>2022</v>
      </c>
      <c r="F159" t="s">
        <v>16</v>
      </c>
      <c r="G159" t="s">
        <v>17</v>
      </c>
      <c r="H159" t="s">
        <v>17</v>
      </c>
      <c r="I159" s="1">
        <v>44653</v>
      </c>
      <c r="J159" t="s">
        <v>17</v>
      </c>
      <c r="K159" t="s">
        <v>289</v>
      </c>
      <c r="L159" t="s">
        <v>71</v>
      </c>
    </row>
    <row r="160" spans="1:12" hidden="1" x14ac:dyDescent="0.25">
      <c r="A160" t="s">
        <v>337</v>
      </c>
      <c r="B160" t="s">
        <v>338</v>
      </c>
      <c r="C160">
        <v>75439</v>
      </c>
      <c r="D160" t="s">
        <v>27</v>
      </c>
      <c r="E160">
        <v>2022</v>
      </c>
      <c r="F160" t="s">
        <v>16</v>
      </c>
      <c r="G160" t="s">
        <v>17</v>
      </c>
      <c r="H160" t="s">
        <v>17</v>
      </c>
      <c r="I160" s="1">
        <v>44653</v>
      </c>
      <c r="J160" t="s">
        <v>17</v>
      </c>
      <c r="K160" t="s">
        <v>28</v>
      </c>
      <c r="L160" t="s">
        <v>19</v>
      </c>
    </row>
    <row r="161" spans="1:12" x14ac:dyDescent="0.25">
      <c r="A161" t="s">
        <v>339</v>
      </c>
      <c r="B161" t="s">
        <v>340</v>
      </c>
      <c r="C161" s="3">
        <v>97288</v>
      </c>
      <c r="D161" t="s">
        <v>15</v>
      </c>
      <c r="E161">
        <v>2022</v>
      </c>
      <c r="F161" t="s">
        <v>16</v>
      </c>
      <c r="G161" t="s">
        <v>17</v>
      </c>
      <c r="H161" t="s">
        <v>17</v>
      </c>
      <c r="I161" s="1">
        <v>44653</v>
      </c>
      <c r="J161" t="s">
        <v>17</v>
      </c>
      <c r="K161" t="s">
        <v>28</v>
      </c>
      <c r="L161" t="s">
        <v>31</v>
      </c>
    </row>
    <row r="162" spans="1:12" x14ac:dyDescent="0.25">
      <c r="A162" t="s">
        <v>341</v>
      </c>
      <c r="B162" t="s">
        <v>342</v>
      </c>
      <c r="C162" s="3">
        <v>29901</v>
      </c>
      <c r="D162" t="s">
        <v>27</v>
      </c>
      <c r="E162">
        <v>2022</v>
      </c>
      <c r="F162" t="s">
        <v>16</v>
      </c>
      <c r="G162" t="s">
        <v>17</v>
      </c>
      <c r="H162" t="s">
        <v>17</v>
      </c>
      <c r="I162" s="1">
        <v>44653</v>
      </c>
      <c r="J162" t="s">
        <v>17</v>
      </c>
      <c r="K162" t="s">
        <v>204</v>
      </c>
      <c r="L162" t="s">
        <v>24</v>
      </c>
    </row>
    <row r="163" spans="1:12" x14ac:dyDescent="0.25">
      <c r="A163" t="s">
        <v>343</v>
      </c>
      <c r="B163" t="s">
        <v>264</v>
      </c>
      <c r="C163" s="3">
        <v>33932</v>
      </c>
      <c r="D163" t="s">
        <v>15</v>
      </c>
      <c r="E163">
        <v>2022</v>
      </c>
      <c r="F163" t="s">
        <v>16</v>
      </c>
      <c r="G163" t="s">
        <v>17</v>
      </c>
      <c r="H163" t="s">
        <v>17</v>
      </c>
      <c r="I163" s="1">
        <v>44653</v>
      </c>
      <c r="J163" t="s">
        <v>17</v>
      </c>
      <c r="K163" t="s">
        <v>28</v>
      </c>
      <c r="L163" t="s">
        <v>71</v>
      </c>
    </row>
    <row r="164" spans="1:12" x14ac:dyDescent="0.25">
      <c r="A164" t="s">
        <v>344</v>
      </c>
      <c r="B164" t="s">
        <v>187</v>
      </c>
      <c r="C164" s="3">
        <v>30077</v>
      </c>
      <c r="D164" t="s">
        <v>27</v>
      </c>
      <c r="E164">
        <v>2022</v>
      </c>
      <c r="F164" t="s">
        <v>16</v>
      </c>
      <c r="G164" t="s">
        <v>17</v>
      </c>
      <c r="H164" t="s">
        <v>17</v>
      </c>
      <c r="I164" s="1">
        <v>44653</v>
      </c>
      <c r="J164" t="s">
        <v>17</v>
      </c>
      <c r="K164" t="s">
        <v>57</v>
      </c>
      <c r="L164" t="s">
        <v>24</v>
      </c>
    </row>
    <row r="165" spans="1:12" x14ac:dyDescent="0.25">
      <c r="A165" t="s">
        <v>345</v>
      </c>
      <c r="B165" t="s">
        <v>189</v>
      </c>
      <c r="C165" s="3">
        <v>26747</v>
      </c>
      <c r="D165" t="s">
        <v>15</v>
      </c>
      <c r="E165">
        <v>2022</v>
      </c>
      <c r="F165" t="s">
        <v>16</v>
      </c>
      <c r="G165" t="s">
        <v>17</v>
      </c>
      <c r="H165" t="s">
        <v>17</v>
      </c>
      <c r="I165" s="1">
        <v>44653</v>
      </c>
      <c r="J165" t="s">
        <v>17</v>
      </c>
      <c r="K165" t="s">
        <v>346</v>
      </c>
      <c r="L165" t="s">
        <v>31</v>
      </c>
    </row>
    <row r="166" spans="1:12" hidden="1" x14ac:dyDescent="0.25">
      <c r="A166" t="s">
        <v>347</v>
      </c>
      <c r="B166" t="s">
        <v>348</v>
      </c>
      <c r="C166">
        <v>52291</v>
      </c>
      <c r="D166" t="s">
        <v>15</v>
      </c>
      <c r="E166">
        <v>2022</v>
      </c>
      <c r="F166" t="s">
        <v>16</v>
      </c>
      <c r="G166" t="s">
        <v>17</v>
      </c>
      <c r="H166" t="s">
        <v>17</v>
      </c>
      <c r="I166" s="1">
        <v>44653</v>
      </c>
      <c r="J166" t="s">
        <v>17</v>
      </c>
      <c r="K166" t="s">
        <v>54</v>
      </c>
      <c r="L166" t="s">
        <v>19</v>
      </c>
    </row>
    <row r="167" spans="1:12" x14ac:dyDescent="0.25">
      <c r="A167" t="s">
        <v>347</v>
      </c>
      <c r="B167" t="s">
        <v>349</v>
      </c>
      <c r="C167" s="3">
        <v>33087</v>
      </c>
      <c r="D167" t="s">
        <v>15</v>
      </c>
      <c r="E167">
        <v>2022</v>
      </c>
      <c r="F167" t="s">
        <v>16</v>
      </c>
      <c r="G167" t="s">
        <v>17</v>
      </c>
      <c r="H167" t="s">
        <v>17</v>
      </c>
      <c r="I167" s="1">
        <v>44653</v>
      </c>
      <c r="J167" t="s">
        <v>17</v>
      </c>
      <c r="K167" t="s">
        <v>220</v>
      </c>
      <c r="L167" t="s">
        <v>24</v>
      </c>
    </row>
    <row r="168" spans="1:12" x14ac:dyDescent="0.25">
      <c r="A168" t="s">
        <v>350</v>
      </c>
      <c r="B168" t="s">
        <v>351</v>
      </c>
      <c r="C168" s="3">
        <v>49747</v>
      </c>
      <c r="D168" t="s">
        <v>15</v>
      </c>
      <c r="E168">
        <v>2022</v>
      </c>
      <c r="F168" t="s">
        <v>16</v>
      </c>
      <c r="G168" t="s">
        <v>17</v>
      </c>
      <c r="H168" t="s">
        <v>17</v>
      </c>
      <c r="I168" s="1">
        <v>44653</v>
      </c>
      <c r="J168" t="s">
        <v>17</v>
      </c>
      <c r="K168" t="s">
        <v>23</v>
      </c>
      <c r="L168" t="s">
        <v>71</v>
      </c>
    </row>
    <row r="169" spans="1:12" x14ac:dyDescent="0.25">
      <c r="A169" t="s">
        <v>352</v>
      </c>
      <c r="B169" t="s">
        <v>353</v>
      </c>
      <c r="C169" s="3">
        <v>31152</v>
      </c>
      <c r="D169" t="s">
        <v>27</v>
      </c>
      <c r="E169">
        <v>2022</v>
      </c>
      <c r="F169" t="s">
        <v>16</v>
      </c>
      <c r="G169" t="s">
        <v>17</v>
      </c>
      <c r="H169" t="s">
        <v>17</v>
      </c>
      <c r="I169" s="1">
        <v>44653</v>
      </c>
      <c r="J169" t="s">
        <v>17</v>
      </c>
      <c r="K169" t="s">
        <v>28</v>
      </c>
      <c r="L169" t="s">
        <v>71</v>
      </c>
    </row>
    <row r="170" spans="1:12" x14ac:dyDescent="0.25">
      <c r="A170" t="s">
        <v>354</v>
      </c>
      <c r="B170" t="s">
        <v>355</v>
      </c>
      <c r="C170" s="3">
        <v>48020</v>
      </c>
      <c r="D170" t="s">
        <v>15</v>
      </c>
      <c r="E170">
        <v>2022</v>
      </c>
      <c r="F170" t="s">
        <v>16</v>
      </c>
      <c r="G170" t="s">
        <v>17</v>
      </c>
      <c r="H170" t="s">
        <v>17</v>
      </c>
      <c r="I170" s="1">
        <v>44653</v>
      </c>
      <c r="J170" t="s">
        <v>17</v>
      </c>
      <c r="K170" t="s">
        <v>28</v>
      </c>
      <c r="L170" t="s">
        <v>24</v>
      </c>
    </row>
    <row r="171" spans="1:12" x14ac:dyDescent="0.25">
      <c r="A171" t="s">
        <v>356</v>
      </c>
      <c r="B171" t="s">
        <v>357</v>
      </c>
      <c r="C171" s="3">
        <v>37975</v>
      </c>
      <c r="D171" t="s">
        <v>15</v>
      </c>
      <c r="E171">
        <v>2022</v>
      </c>
      <c r="F171" t="s">
        <v>16</v>
      </c>
      <c r="G171" t="s">
        <v>17</v>
      </c>
      <c r="H171" t="s">
        <v>17</v>
      </c>
      <c r="I171" s="1">
        <v>44653</v>
      </c>
      <c r="J171" t="s">
        <v>17</v>
      </c>
      <c r="K171" t="s">
        <v>63</v>
      </c>
      <c r="L171" t="s">
        <v>31</v>
      </c>
    </row>
    <row r="172" spans="1:12" x14ac:dyDescent="0.25">
      <c r="A172" t="s">
        <v>358</v>
      </c>
      <c r="B172" t="s">
        <v>43</v>
      </c>
      <c r="C172" s="3">
        <v>47490</v>
      </c>
      <c r="D172" t="s">
        <v>15</v>
      </c>
      <c r="E172">
        <v>2022</v>
      </c>
      <c r="F172" t="s">
        <v>16</v>
      </c>
      <c r="G172" t="s">
        <v>17</v>
      </c>
      <c r="H172" t="s">
        <v>17</v>
      </c>
      <c r="I172" s="1">
        <v>44653</v>
      </c>
      <c r="J172" t="s">
        <v>17</v>
      </c>
      <c r="K172" t="s">
        <v>78</v>
      </c>
      <c r="L172" t="s">
        <v>31</v>
      </c>
    </row>
    <row r="173" spans="1:12" x14ac:dyDescent="0.25">
      <c r="A173" t="s">
        <v>359</v>
      </c>
      <c r="B173" t="s">
        <v>360</v>
      </c>
      <c r="C173" s="3">
        <v>43067</v>
      </c>
      <c r="D173" t="s">
        <v>15</v>
      </c>
      <c r="E173">
        <v>2022</v>
      </c>
      <c r="F173" t="s">
        <v>16</v>
      </c>
      <c r="G173" t="s">
        <v>17</v>
      </c>
      <c r="H173" t="s">
        <v>17</v>
      </c>
      <c r="I173" s="1">
        <v>44653</v>
      </c>
      <c r="J173" t="s">
        <v>17</v>
      </c>
      <c r="K173" t="s">
        <v>23</v>
      </c>
      <c r="L173" t="s">
        <v>31</v>
      </c>
    </row>
    <row r="174" spans="1:12" x14ac:dyDescent="0.25">
      <c r="A174" t="s">
        <v>361</v>
      </c>
      <c r="B174" t="s">
        <v>122</v>
      </c>
      <c r="C174" s="3">
        <v>18697</v>
      </c>
      <c r="D174" t="s">
        <v>362</v>
      </c>
      <c r="E174">
        <v>2022</v>
      </c>
      <c r="F174" t="s">
        <v>16</v>
      </c>
      <c r="G174" t="s">
        <v>17</v>
      </c>
      <c r="H174" t="s">
        <v>17</v>
      </c>
      <c r="I174" s="1">
        <v>44653</v>
      </c>
      <c r="J174" t="s">
        <v>17</v>
      </c>
      <c r="K174" t="s">
        <v>85</v>
      </c>
      <c r="L174" t="s">
        <v>24</v>
      </c>
    </row>
    <row r="175" spans="1:12" x14ac:dyDescent="0.25">
      <c r="A175" t="s">
        <v>363</v>
      </c>
      <c r="B175" t="s">
        <v>364</v>
      </c>
      <c r="C175" s="3">
        <v>40404</v>
      </c>
      <c r="D175" t="s">
        <v>15</v>
      </c>
      <c r="E175">
        <v>2022</v>
      </c>
      <c r="F175" t="s">
        <v>16</v>
      </c>
      <c r="G175" t="s">
        <v>17</v>
      </c>
      <c r="H175" t="s">
        <v>17</v>
      </c>
      <c r="I175" s="1">
        <v>44653</v>
      </c>
      <c r="J175" t="s">
        <v>17</v>
      </c>
      <c r="K175" t="s">
        <v>365</v>
      </c>
      <c r="L175" t="s">
        <v>31</v>
      </c>
    </row>
    <row r="176" spans="1:12" hidden="1" x14ac:dyDescent="0.25">
      <c r="A176" t="s">
        <v>366</v>
      </c>
      <c r="B176" t="s">
        <v>367</v>
      </c>
      <c r="C176">
        <v>59892</v>
      </c>
      <c r="D176" t="s">
        <v>15</v>
      </c>
      <c r="E176">
        <v>2022</v>
      </c>
      <c r="F176" t="s">
        <v>16</v>
      </c>
      <c r="G176" t="s">
        <v>17</v>
      </c>
      <c r="H176" t="s">
        <v>17</v>
      </c>
      <c r="I176" s="1">
        <v>44653</v>
      </c>
      <c r="J176" t="s">
        <v>17</v>
      </c>
      <c r="K176" t="s">
        <v>63</v>
      </c>
      <c r="L176" t="s">
        <v>19</v>
      </c>
    </row>
    <row r="177" spans="1:12" x14ac:dyDescent="0.25">
      <c r="A177" t="s">
        <v>368</v>
      </c>
      <c r="B177" t="s">
        <v>369</v>
      </c>
      <c r="C177" s="3">
        <v>2906</v>
      </c>
      <c r="D177" t="s">
        <v>27</v>
      </c>
      <c r="E177">
        <v>2022</v>
      </c>
      <c r="F177" t="s">
        <v>16</v>
      </c>
      <c r="G177" t="s">
        <v>17</v>
      </c>
      <c r="H177" t="s">
        <v>17</v>
      </c>
      <c r="I177" s="1">
        <v>44653</v>
      </c>
      <c r="J177" t="s">
        <v>17</v>
      </c>
      <c r="K177" t="s">
        <v>23</v>
      </c>
      <c r="L177" t="s">
        <v>24</v>
      </c>
    </row>
    <row r="178" spans="1:12" x14ac:dyDescent="0.25">
      <c r="A178" t="s">
        <v>370</v>
      </c>
      <c r="B178" t="s">
        <v>264</v>
      </c>
      <c r="C178" s="3">
        <v>32570</v>
      </c>
      <c r="D178" t="s">
        <v>15</v>
      </c>
      <c r="E178">
        <v>2022</v>
      </c>
      <c r="F178" t="s">
        <v>16</v>
      </c>
      <c r="G178" t="s">
        <v>17</v>
      </c>
      <c r="H178" t="s">
        <v>17</v>
      </c>
      <c r="I178" s="1">
        <v>44653</v>
      </c>
      <c r="J178" t="s">
        <v>17</v>
      </c>
      <c r="K178" t="s">
        <v>63</v>
      </c>
      <c r="L178" t="s">
        <v>71</v>
      </c>
    </row>
    <row r="179" spans="1:12" x14ac:dyDescent="0.25">
      <c r="A179" t="s">
        <v>370</v>
      </c>
      <c r="B179" t="s">
        <v>371</v>
      </c>
      <c r="C179" s="3">
        <v>48119</v>
      </c>
      <c r="D179" t="s">
        <v>15</v>
      </c>
      <c r="E179">
        <v>2022</v>
      </c>
      <c r="F179" t="s">
        <v>16</v>
      </c>
      <c r="G179" t="s">
        <v>17</v>
      </c>
      <c r="H179" t="s">
        <v>17</v>
      </c>
      <c r="I179" s="1">
        <v>44653</v>
      </c>
      <c r="J179" t="s">
        <v>17</v>
      </c>
      <c r="K179" t="s">
        <v>23</v>
      </c>
      <c r="L179" t="s">
        <v>24</v>
      </c>
    </row>
    <row r="180" spans="1:12" x14ac:dyDescent="0.25">
      <c r="A180" t="s">
        <v>372</v>
      </c>
      <c r="B180" t="s">
        <v>373</v>
      </c>
      <c r="C180" s="3">
        <v>46023</v>
      </c>
      <c r="D180" t="s">
        <v>15</v>
      </c>
      <c r="E180">
        <v>2022</v>
      </c>
      <c r="F180" t="s">
        <v>16</v>
      </c>
      <c r="G180" t="s">
        <v>17</v>
      </c>
      <c r="H180" t="s">
        <v>17</v>
      </c>
      <c r="I180" s="1">
        <v>44653</v>
      </c>
      <c r="J180" t="s">
        <v>17</v>
      </c>
      <c r="K180" t="s">
        <v>259</v>
      </c>
      <c r="L180" t="s">
        <v>71</v>
      </c>
    </row>
    <row r="181" spans="1:12" hidden="1" x14ac:dyDescent="0.25">
      <c r="A181" t="s">
        <v>372</v>
      </c>
      <c r="B181" t="s">
        <v>374</v>
      </c>
      <c r="C181">
        <v>62968</v>
      </c>
      <c r="D181" t="s">
        <v>15</v>
      </c>
      <c r="E181">
        <v>2022</v>
      </c>
      <c r="F181" t="s">
        <v>16</v>
      </c>
      <c r="G181" t="s">
        <v>17</v>
      </c>
      <c r="H181" t="s">
        <v>17</v>
      </c>
      <c r="I181" s="1">
        <v>44653</v>
      </c>
      <c r="J181" t="s">
        <v>17</v>
      </c>
      <c r="K181" t="s">
        <v>18</v>
      </c>
      <c r="L181" t="s">
        <v>19</v>
      </c>
    </row>
    <row r="182" spans="1:12" hidden="1" x14ac:dyDescent="0.25">
      <c r="A182" t="s">
        <v>372</v>
      </c>
      <c r="B182" t="s">
        <v>375</v>
      </c>
      <c r="C182">
        <v>32476</v>
      </c>
      <c r="D182" t="s">
        <v>27</v>
      </c>
      <c r="E182">
        <v>2022</v>
      </c>
      <c r="F182" t="s">
        <v>16</v>
      </c>
      <c r="G182" t="s">
        <v>17</v>
      </c>
      <c r="H182" t="s">
        <v>17</v>
      </c>
      <c r="I182" s="1">
        <v>44653</v>
      </c>
      <c r="J182" t="s">
        <v>17</v>
      </c>
      <c r="K182" t="s">
        <v>23</v>
      </c>
      <c r="L182" t="s">
        <v>19</v>
      </c>
    </row>
    <row r="183" spans="1:12" x14ac:dyDescent="0.25">
      <c r="A183" t="s">
        <v>310</v>
      </c>
      <c r="B183" t="s">
        <v>376</v>
      </c>
      <c r="C183" s="3">
        <v>26002</v>
      </c>
      <c r="D183" t="s">
        <v>15</v>
      </c>
      <c r="E183">
        <v>2022</v>
      </c>
      <c r="F183" t="s">
        <v>16</v>
      </c>
      <c r="G183" t="s">
        <v>17</v>
      </c>
      <c r="H183" t="s">
        <v>17</v>
      </c>
      <c r="I183" s="1">
        <v>44653</v>
      </c>
      <c r="J183" t="s">
        <v>17</v>
      </c>
      <c r="K183" t="s">
        <v>54</v>
      </c>
      <c r="L183" t="s">
        <v>31</v>
      </c>
    </row>
    <row r="184" spans="1:12" hidden="1" x14ac:dyDescent="0.25">
      <c r="A184" t="s">
        <v>377</v>
      </c>
      <c r="B184" t="s">
        <v>378</v>
      </c>
      <c r="C184">
        <v>57352</v>
      </c>
      <c r="D184" t="s">
        <v>15</v>
      </c>
      <c r="E184">
        <v>2022</v>
      </c>
      <c r="F184" t="s">
        <v>16</v>
      </c>
      <c r="G184" t="s">
        <v>17</v>
      </c>
      <c r="H184" t="s">
        <v>17</v>
      </c>
      <c r="I184" s="1">
        <v>44653</v>
      </c>
      <c r="J184" t="s">
        <v>17</v>
      </c>
      <c r="K184" t="s">
        <v>23</v>
      </c>
      <c r="L184" t="s">
        <v>19</v>
      </c>
    </row>
    <row r="185" spans="1:12" x14ac:dyDescent="0.25">
      <c r="A185" t="s">
        <v>342</v>
      </c>
      <c r="B185" t="s">
        <v>74</v>
      </c>
      <c r="C185" s="3">
        <v>46514</v>
      </c>
      <c r="D185" t="s">
        <v>15</v>
      </c>
      <c r="E185">
        <v>2022</v>
      </c>
      <c r="F185" t="s">
        <v>16</v>
      </c>
      <c r="G185" t="s">
        <v>17</v>
      </c>
      <c r="H185" t="s">
        <v>17</v>
      </c>
      <c r="I185" s="1">
        <v>44653</v>
      </c>
      <c r="J185" t="s">
        <v>17</v>
      </c>
      <c r="K185" t="s">
        <v>379</v>
      </c>
      <c r="L185" t="s">
        <v>24</v>
      </c>
    </row>
    <row r="186" spans="1:12" x14ac:dyDescent="0.25">
      <c r="A186" t="s">
        <v>380</v>
      </c>
      <c r="B186" t="s">
        <v>381</v>
      </c>
      <c r="C186" s="3">
        <v>5438</v>
      </c>
      <c r="D186" t="s">
        <v>27</v>
      </c>
      <c r="E186">
        <v>2022</v>
      </c>
      <c r="F186" t="s">
        <v>16</v>
      </c>
      <c r="G186" t="s">
        <v>17</v>
      </c>
      <c r="H186" t="s">
        <v>17</v>
      </c>
      <c r="I186" s="1">
        <v>44653</v>
      </c>
      <c r="J186" t="s">
        <v>17</v>
      </c>
      <c r="K186" t="s">
        <v>60</v>
      </c>
      <c r="L186" t="s">
        <v>46</v>
      </c>
    </row>
    <row r="187" spans="1:12" x14ac:dyDescent="0.25">
      <c r="A187" t="s">
        <v>382</v>
      </c>
      <c r="B187" t="s">
        <v>383</v>
      </c>
      <c r="C187" s="3">
        <v>39216</v>
      </c>
      <c r="D187" t="s">
        <v>15</v>
      </c>
      <c r="E187">
        <v>2022</v>
      </c>
      <c r="F187" t="s">
        <v>16</v>
      </c>
      <c r="G187" t="s">
        <v>17</v>
      </c>
      <c r="H187" t="s">
        <v>17</v>
      </c>
      <c r="I187" s="1">
        <v>44653</v>
      </c>
      <c r="J187" t="s">
        <v>17</v>
      </c>
      <c r="K187" t="s">
        <v>23</v>
      </c>
      <c r="L187" t="s">
        <v>71</v>
      </c>
    </row>
    <row r="188" spans="1:12" hidden="1" x14ac:dyDescent="0.25">
      <c r="A188" t="s">
        <v>384</v>
      </c>
      <c r="B188" t="s">
        <v>385</v>
      </c>
      <c r="C188">
        <v>39530</v>
      </c>
      <c r="D188" t="s">
        <v>15</v>
      </c>
      <c r="E188">
        <v>2022</v>
      </c>
      <c r="F188" t="s">
        <v>16</v>
      </c>
      <c r="G188" t="s">
        <v>17</v>
      </c>
      <c r="H188" t="s">
        <v>17</v>
      </c>
      <c r="I188" s="1">
        <v>44653</v>
      </c>
      <c r="J188" t="s">
        <v>17</v>
      </c>
      <c r="K188" t="s">
        <v>37</v>
      </c>
      <c r="L188" t="s">
        <v>19</v>
      </c>
    </row>
    <row r="189" spans="1:12" x14ac:dyDescent="0.25">
      <c r="A189" t="s">
        <v>386</v>
      </c>
      <c r="B189" t="s">
        <v>77</v>
      </c>
      <c r="C189" s="3">
        <v>34796</v>
      </c>
      <c r="D189" t="s">
        <v>15</v>
      </c>
      <c r="E189">
        <v>2022</v>
      </c>
      <c r="F189" t="s">
        <v>16</v>
      </c>
      <c r="G189" t="s">
        <v>17</v>
      </c>
      <c r="H189" t="s">
        <v>17</v>
      </c>
      <c r="I189" s="1">
        <v>44653</v>
      </c>
      <c r="J189" t="s">
        <v>17</v>
      </c>
      <c r="K189" t="s">
        <v>68</v>
      </c>
      <c r="L189" t="s">
        <v>31</v>
      </c>
    </row>
    <row r="190" spans="1:12" x14ac:dyDescent="0.25">
      <c r="A190" t="s">
        <v>387</v>
      </c>
      <c r="B190" t="s">
        <v>388</v>
      </c>
      <c r="C190" s="3" t="s">
        <v>389</v>
      </c>
      <c r="D190" t="s">
        <v>15</v>
      </c>
      <c r="E190">
        <v>2022</v>
      </c>
      <c r="F190" t="s">
        <v>390</v>
      </c>
      <c r="G190" s="1">
        <v>44562</v>
      </c>
      <c r="H190" t="s">
        <v>391</v>
      </c>
      <c r="I190" t="s">
        <v>17</v>
      </c>
      <c r="J190" s="1">
        <v>44594</v>
      </c>
      <c r="K190" t="s">
        <v>17</v>
      </c>
      <c r="L190" t="s">
        <v>17</v>
      </c>
    </row>
    <row r="191" spans="1:12" x14ac:dyDescent="0.25">
      <c r="A191" t="s">
        <v>392</v>
      </c>
      <c r="B191" t="s">
        <v>175</v>
      </c>
      <c r="C191" s="3">
        <v>71236</v>
      </c>
      <c r="D191" t="s">
        <v>15</v>
      </c>
      <c r="E191">
        <v>2022</v>
      </c>
      <c r="F191" t="s">
        <v>16</v>
      </c>
      <c r="G191" t="s">
        <v>17</v>
      </c>
      <c r="H191" t="s">
        <v>17</v>
      </c>
      <c r="I191" s="1">
        <v>44653</v>
      </c>
      <c r="J191" t="s">
        <v>17</v>
      </c>
      <c r="K191" t="s">
        <v>34</v>
      </c>
      <c r="L191" t="s">
        <v>393</v>
      </c>
    </row>
    <row r="192" spans="1:12" x14ac:dyDescent="0.25">
      <c r="A192" t="s">
        <v>394</v>
      </c>
      <c r="B192" t="s">
        <v>395</v>
      </c>
      <c r="C192" s="3">
        <v>34255</v>
      </c>
      <c r="D192" t="s">
        <v>27</v>
      </c>
      <c r="E192">
        <v>2022</v>
      </c>
      <c r="F192" t="s">
        <v>16</v>
      </c>
      <c r="G192" t="s">
        <v>17</v>
      </c>
      <c r="H192" t="s">
        <v>17</v>
      </c>
      <c r="I192" s="1">
        <v>44653</v>
      </c>
      <c r="J192" t="s">
        <v>17</v>
      </c>
      <c r="K192" t="s">
        <v>28</v>
      </c>
      <c r="L192" t="s">
        <v>71</v>
      </c>
    </row>
    <row r="193" spans="1:12" x14ac:dyDescent="0.25">
      <c r="A193" t="s">
        <v>396</v>
      </c>
      <c r="B193" t="s">
        <v>397</v>
      </c>
      <c r="C193" s="3">
        <v>32435</v>
      </c>
      <c r="D193" t="s">
        <v>113</v>
      </c>
      <c r="E193">
        <v>2022</v>
      </c>
      <c r="F193" t="s">
        <v>16</v>
      </c>
      <c r="G193" t="s">
        <v>17</v>
      </c>
      <c r="H193" t="s">
        <v>17</v>
      </c>
      <c r="I193" s="1">
        <v>44653</v>
      </c>
      <c r="J193" t="s">
        <v>17</v>
      </c>
      <c r="K193" t="s">
        <v>220</v>
      </c>
      <c r="L193" t="s">
        <v>24</v>
      </c>
    </row>
    <row r="194" spans="1:12" x14ac:dyDescent="0.25">
      <c r="A194" t="s">
        <v>398</v>
      </c>
      <c r="B194" t="s">
        <v>338</v>
      </c>
      <c r="C194" s="3">
        <v>34325</v>
      </c>
      <c r="D194" t="s">
        <v>100</v>
      </c>
      <c r="E194">
        <v>2022</v>
      </c>
      <c r="F194" t="s">
        <v>16</v>
      </c>
      <c r="G194" t="s">
        <v>17</v>
      </c>
      <c r="H194" t="s">
        <v>17</v>
      </c>
      <c r="I194" s="1">
        <v>44653</v>
      </c>
      <c r="J194" t="s">
        <v>17</v>
      </c>
      <c r="K194" t="s">
        <v>399</v>
      </c>
      <c r="L194" t="s">
        <v>24</v>
      </c>
    </row>
    <row r="195" spans="1:12" x14ac:dyDescent="0.25">
      <c r="A195" t="s">
        <v>398</v>
      </c>
      <c r="B195" t="s">
        <v>338</v>
      </c>
      <c r="C195" s="3">
        <v>34325</v>
      </c>
      <c r="D195" t="s">
        <v>101</v>
      </c>
      <c r="E195">
        <v>2022</v>
      </c>
      <c r="F195" t="s">
        <v>16</v>
      </c>
      <c r="G195" t="s">
        <v>17</v>
      </c>
      <c r="H195" t="s">
        <v>17</v>
      </c>
      <c r="I195" s="1">
        <v>44653</v>
      </c>
      <c r="J195" t="s">
        <v>17</v>
      </c>
      <c r="K195" t="s">
        <v>399</v>
      </c>
      <c r="L195" t="s">
        <v>24</v>
      </c>
    </row>
    <row r="196" spans="1:12" x14ac:dyDescent="0.25">
      <c r="A196" t="s">
        <v>400</v>
      </c>
      <c r="B196" t="s">
        <v>401</v>
      </c>
      <c r="C196" s="3">
        <v>52191</v>
      </c>
      <c r="D196" t="s">
        <v>15</v>
      </c>
      <c r="E196">
        <v>2022</v>
      </c>
      <c r="F196" t="s">
        <v>16</v>
      </c>
      <c r="G196" t="s">
        <v>17</v>
      </c>
      <c r="H196" t="s">
        <v>17</v>
      </c>
      <c r="I196" s="1">
        <v>44653</v>
      </c>
      <c r="J196" t="s">
        <v>17</v>
      </c>
      <c r="K196" t="s">
        <v>28</v>
      </c>
      <c r="L196" t="s">
        <v>31</v>
      </c>
    </row>
    <row r="197" spans="1:12" hidden="1" x14ac:dyDescent="0.25">
      <c r="A197" t="s">
        <v>402</v>
      </c>
      <c r="B197" t="s">
        <v>403</v>
      </c>
      <c r="C197">
        <v>34383</v>
      </c>
      <c r="D197" t="s">
        <v>27</v>
      </c>
      <c r="E197">
        <v>2022</v>
      </c>
      <c r="F197" t="s">
        <v>16</v>
      </c>
      <c r="G197" t="s">
        <v>17</v>
      </c>
      <c r="H197" t="s">
        <v>17</v>
      </c>
      <c r="I197" s="1">
        <v>44653</v>
      </c>
      <c r="J197" t="s">
        <v>17</v>
      </c>
      <c r="K197" t="s">
        <v>230</v>
      </c>
      <c r="L197" t="s">
        <v>19</v>
      </c>
    </row>
    <row r="198" spans="1:12" hidden="1" x14ac:dyDescent="0.25">
      <c r="A198" t="s">
        <v>404</v>
      </c>
      <c r="B198" t="s">
        <v>405</v>
      </c>
      <c r="C198">
        <v>9814</v>
      </c>
      <c r="D198" t="s">
        <v>27</v>
      </c>
      <c r="E198">
        <v>2022</v>
      </c>
      <c r="F198" t="s">
        <v>16</v>
      </c>
      <c r="G198" t="s">
        <v>17</v>
      </c>
      <c r="H198" t="s">
        <v>17</v>
      </c>
      <c r="I198" s="1">
        <v>44653</v>
      </c>
      <c r="J198" t="s">
        <v>17</v>
      </c>
      <c r="K198" t="s">
        <v>93</v>
      </c>
      <c r="L198" t="s">
        <v>19</v>
      </c>
    </row>
    <row r="199" spans="1:12" x14ac:dyDescent="0.25">
      <c r="A199" t="s">
        <v>406</v>
      </c>
      <c r="B199" t="s">
        <v>407</v>
      </c>
      <c r="C199" s="3">
        <v>52692</v>
      </c>
      <c r="D199" t="s">
        <v>15</v>
      </c>
      <c r="E199">
        <v>2022</v>
      </c>
      <c r="F199" t="s">
        <v>16</v>
      </c>
      <c r="G199" t="s">
        <v>17</v>
      </c>
      <c r="H199" t="s">
        <v>17</v>
      </c>
      <c r="I199" s="1">
        <v>44653</v>
      </c>
      <c r="J199" t="s">
        <v>17</v>
      </c>
      <c r="K199" t="s">
        <v>28</v>
      </c>
      <c r="L199" t="s">
        <v>31</v>
      </c>
    </row>
    <row r="200" spans="1:12" hidden="1" x14ac:dyDescent="0.25">
      <c r="A200" t="s">
        <v>408</v>
      </c>
      <c r="B200" t="s">
        <v>409</v>
      </c>
      <c r="C200">
        <v>38455</v>
      </c>
      <c r="D200" t="s">
        <v>15</v>
      </c>
      <c r="E200">
        <v>2022</v>
      </c>
      <c r="F200" t="s">
        <v>16</v>
      </c>
      <c r="G200" t="s">
        <v>17</v>
      </c>
      <c r="H200" t="s">
        <v>17</v>
      </c>
      <c r="I200" s="1">
        <v>44653</v>
      </c>
      <c r="J200" t="s">
        <v>17</v>
      </c>
      <c r="K200" t="s">
        <v>18</v>
      </c>
      <c r="L200" t="s">
        <v>19</v>
      </c>
    </row>
    <row r="201" spans="1:12" x14ac:dyDescent="0.25">
      <c r="A201" t="s">
        <v>410</v>
      </c>
      <c r="B201" t="s">
        <v>200</v>
      </c>
      <c r="C201" s="3">
        <v>97608</v>
      </c>
      <c r="D201" t="s">
        <v>15</v>
      </c>
      <c r="E201">
        <v>2022</v>
      </c>
      <c r="F201" t="s">
        <v>16</v>
      </c>
      <c r="G201" t="s">
        <v>17</v>
      </c>
      <c r="H201" t="s">
        <v>17</v>
      </c>
      <c r="I201" s="1">
        <v>44653</v>
      </c>
      <c r="J201" t="s">
        <v>17</v>
      </c>
      <c r="K201" t="s">
        <v>411</v>
      </c>
      <c r="L201" t="s">
        <v>31</v>
      </c>
    </row>
    <row r="202" spans="1:12" hidden="1" x14ac:dyDescent="0.25">
      <c r="A202" t="s">
        <v>412</v>
      </c>
      <c r="B202" t="s">
        <v>351</v>
      </c>
      <c r="C202">
        <v>32962</v>
      </c>
      <c r="D202" t="s">
        <v>15</v>
      </c>
      <c r="E202">
        <v>2022</v>
      </c>
      <c r="F202" t="s">
        <v>16</v>
      </c>
      <c r="G202" t="s">
        <v>17</v>
      </c>
      <c r="H202" t="s">
        <v>17</v>
      </c>
      <c r="I202" s="1">
        <v>44653</v>
      </c>
      <c r="J202" t="s">
        <v>17</v>
      </c>
      <c r="K202" t="s">
        <v>18</v>
      </c>
      <c r="L202" t="s">
        <v>19</v>
      </c>
    </row>
    <row r="203" spans="1:12" x14ac:dyDescent="0.25">
      <c r="A203" t="s">
        <v>413</v>
      </c>
      <c r="B203" t="s">
        <v>156</v>
      </c>
      <c r="C203" s="3">
        <v>2797</v>
      </c>
      <c r="D203" t="s">
        <v>15</v>
      </c>
      <c r="E203">
        <v>2022</v>
      </c>
      <c r="F203" t="s">
        <v>16</v>
      </c>
      <c r="G203" t="s">
        <v>17</v>
      </c>
      <c r="H203" t="s">
        <v>17</v>
      </c>
      <c r="I203" s="1">
        <v>44653</v>
      </c>
      <c r="J203" t="s">
        <v>17</v>
      </c>
      <c r="K203" t="s">
        <v>28</v>
      </c>
      <c r="L203" t="s">
        <v>71</v>
      </c>
    </row>
    <row r="204" spans="1:12" x14ac:dyDescent="0.25">
      <c r="A204" t="s">
        <v>414</v>
      </c>
      <c r="B204" t="s">
        <v>143</v>
      </c>
      <c r="C204" s="3">
        <v>41863</v>
      </c>
      <c r="D204" t="s">
        <v>15</v>
      </c>
      <c r="E204">
        <v>2022</v>
      </c>
      <c r="F204" t="s">
        <v>16</v>
      </c>
      <c r="G204" t="s">
        <v>17</v>
      </c>
      <c r="H204" t="s">
        <v>17</v>
      </c>
      <c r="I204" s="1">
        <v>44653</v>
      </c>
      <c r="J204" t="s">
        <v>17</v>
      </c>
      <c r="K204" t="s">
        <v>68</v>
      </c>
      <c r="L204" t="s">
        <v>31</v>
      </c>
    </row>
    <row r="205" spans="1:12" x14ac:dyDescent="0.25">
      <c r="A205" t="s">
        <v>415</v>
      </c>
      <c r="B205" t="s">
        <v>88</v>
      </c>
      <c r="C205" s="3">
        <v>48815</v>
      </c>
      <c r="D205" t="s">
        <v>15</v>
      </c>
      <c r="E205">
        <v>2022</v>
      </c>
      <c r="F205" t="s">
        <v>16</v>
      </c>
      <c r="G205" t="s">
        <v>17</v>
      </c>
      <c r="H205" t="s">
        <v>17</v>
      </c>
      <c r="I205" s="1">
        <v>44653</v>
      </c>
      <c r="J205" t="s">
        <v>17</v>
      </c>
      <c r="K205" t="s">
        <v>416</v>
      </c>
      <c r="L205" t="s">
        <v>24</v>
      </c>
    </row>
    <row r="206" spans="1:12" x14ac:dyDescent="0.25">
      <c r="A206" t="s">
        <v>417</v>
      </c>
      <c r="B206" t="s">
        <v>395</v>
      </c>
      <c r="C206" s="3">
        <v>17406</v>
      </c>
      <c r="D206" t="s">
        <v>336</v>
      </c>
      <c r="E206">
        <v>2022</v>
      </c>
      <c r="F206" t="s">
        <v>16</v>
      </c>
      <c r="G206" t="s">
        <v>17</v>
      </c>
      <c r="H206" t="s">
        <v>17</v>
      </c>
      <c r="I206" s="1">
        <v>44653</v>
      </c>
      <c r="J206" t="s">
        <v>17</v>
      </c>
      <c r="K206" t="s">
        <v>23</v>
      </c>
      <c r="L206" t="s">
        <v>393</v>
      </c>
    </row>
    <row r="207" spans="1:12" x14ac:dyDescent="0.25">
      <c r="A207" t="s">
        <v>418</v>
      </c>
      <c r="B207" t="s">
        <v>207</v>
      </c>
      <c r="C207" s="3">
        <v>46723</v>
      </c>
      <c r="D207" t="s">
        <v>15</v>
      </c>
      <c r="E207">
        <v>2022</v>
      </c>
      <c r="F207" t="s">
        <v>16</v>
      </c>
      <c r="G207" t="s">
        <v>17</v>
      </c>
      <c r="H207" t="s">
        <v>17</v>
      </c>
      <c r="I207" s="1">
        <v>44653</v>
      </c>
      <c r="J207" t="s">
        <v>17</v>
      </c>
      <c r="K207" t="s">
        <v>220</v>
      </c>
      <c r="L207" t="s">
        <v>31</v>
      </c>
    </row>
    <row r="208" spans="1:12" x14ac:dyDescent="0.25">
      <c r="A208" t="s">
        <v>419</v>
      </c>
      <c r="B208" t="s">
        <v>420</v>
      </c>
      <c r="C208" s="3">
        <v>36371</v>
      </c>
      <c r="D208" t="s">
        <v>27</v>
      </c>
      <c r="E208">
        <v>2022</v>
      </c>
      <c r="F208" t="s">
        <v>16</v>
      </c>
      <c r="G208" t="s">
        <v>17</v>
      </c>
      <c r="H208" t="s">
        <v>17</v>
      </c>
      <c r="I208" s="1">
        <v>44653</v>
      </c>
      <c r="J208" t="s">
        <v>17</v>
      </c>
      <c r="K208" t="s">
        <v>68</v>
      </c>
      <c r="L208" t="s">
        <v>71</v>
      </c>
    </row>
    <row r="209" spans="1:12" x14ac:dyDescent="0.25">
      <c r="A209" t="s">
        <v>421</v>
      </c>
      <c r="B209" t="s">
        <v>103</v>
      </c>
      <c r="C209" s="3">
        <v>36215</v>
      </c>
      <c r="D209" t="s">
        <v>15</v>
      </c>
      <c r="E209">
        <v>2022</v>
      </c>
      <c r="F209" t="s">
        <v>16</v>
      </c>
      <c r="G209" t="s">
        <v>17</v>
      </c>
      <c r="H209" t="s">
        <v>17</v>
      </c>
      <c r="I209" s="1">
        <v>44653</v>
      </c>
      <c r="J209" t="s">
        <v>17</v>
      </c>
      <c r="K209" t="s">
        <v>220</v>
      </c>
      <c r="L209" t="s">
        <v>24</v>
      </c>
    </row>
    <row r="210" spans="1:12" x14ac:dyDescent="0.25">
      <c r="A210" t="s">
        <v>422</v>
      </c>
      <c r="B210" t="s">
        <v>175</v>
      </c>
      <c r="C210" s="3">
        <v>4471</v>
      </c>
      <c r="D210" t="s">
        <v>27</v>
      </c>
      <c r="E210">
        <v>2022</v>
      </c>
      <c r="F210" t="s">
        <v>16</v>
      </c>
      <c r="G210" t="s">
        <v>17</v>
      </c>
      <c r="H210" t="s">
        <v>17</v>
      </c>
      <c r="I210" s="1">
        <v>44653</v>
      </c>
      <c r="J210" t="s">
        <v>17</v>
      </c>
      <c r="K210" t="s">
        <v>78</v>
      </c>
      <c r="L210" t="s">
        <v>71</v>
      </c>
    </row>
    <row r="211" spans="1:12" x14ac:dyDescent="0.25">
      <c r="A211" t="s">
        <v>423</v>
      </c>
      <c r="B211" t="s">
        <v>424</v>
      </c>
      <c r="C211" s="3">
        <v>37371</v>
      </c>
      <c r="D211" t="s">
        <v>27</v>
      </c>
      <c r="E211">
        <v>2022</v>
      </c>
      <c r="F211" t="s">
        <v>16</v>
      </c>
      <c r="G211" t="s">
        <v>17</v>
      </c>
      <c r="H211" t="s">
        <v>17</v>
      </c>
      <c r="I211" s="1">
        <v>44653</v>
      </c>
      <c r="J211" t="s">
        <v>17</v>
      </c>
      <c r="K211" t="s">
        <v>23</v>
      </c>
      <c r="L211" t="s">
        <v>393</v>
      </c>
    </row>
    <row r="212" spans="1:12" x14ac:dyDescent="0.25">
      <c r="A212" t="s">
        <v>425</v>
      </c>
      <c r="B212" t="s">
        <v>103</v>
      </c>
      <c r="C212" s="3">
        <v>50401</v>
      </c>
      <c r="D212" t="s">
        <v>15</v>
      </c>
      <c r="E212">
        <v>2022</v>
      </c>
      <c r="F212" t="s">
        <v>16</v>
      </c>
      <c r="G212" t="s">
        <v>17</v>
      </c>
      <c r="H212" t="s">
        <v>17</v>
      </c>
      <c r="I212" s="1">
        <v>44653</v>
      </c>
      <c r="J212" t="s">
        <v>17</v>
      </c>
      <c r="K212" t="s">
        <v>426</v>
      </c>
      <c r="L212" t="s">
        <v>24</v>
      </c>
    </row>
    <row r="213" spans="1:12" x14ac:dyDescent="0.25">
      <c r="A213" t="s">
        <v>427</v>
      </c>
      <c r="B213" t="s">
        <v>95</v>
      </c>
      <c r="C213" s="3">
        <v>37567</v>
      </c>
      <c r="D213" t="s">
        <v>15</v>
      </c>
      <c r="E213">
        <v>2022</v>
      </c>
      <c r="F213" t="s">
        <v>16</v>
      </c>
      <c r="G213" t="s">
        <v>17</v>
      </c>
      <c r="H213" t="s">
        <v>17</v>
      </c>
      <c r="I213" s="1">
        <v>44653</v>
      </c>
      <c r="J213" t="s">
        <v>17</v>
      </c>
      <c r="K213" t="s">
        <v>28</v>
      </c>
      <c r="L213" t="s">
        <v>24</v>
      </c>
    </row>
    <row r="214" spans="1:12" hidden="1" x14ac:dyDescent="0.25">
      <c r="A214" t="s">
        <v>428</v>
      </c>
      <c r="B214" t="s">
        <v>429</v>
      </c>
      <c r="C214">
        <v>46405</v>
      </c>
      <c r="D214" t="s">
        <v>15</v>
      </c>
      <c r="E214">
        <v>2022</v>
      </c>
      <c r="F214" t="s">
        <v>16</v>
      </c>
      <c r="G214" t="s">
        <v>17</v>
      </c>
      <c r="H214" t="s">
        <v>17</v>
      </c>
      <c r="I214" s="1">
        <v>44653</v>
      </c>
      <c r="J214" t="s">
        <v>17</v>
      </c>
      <c r="K214" t="s">
        <v>28</v>
      </c>
      <c r="L214" t="s">
        <v>19</v>
      </c>
    </row>
    <row r="215" spans="1:12" hidden="1" x14ac:dyDescent="0.25">
      <c r="A215" t="s">
        <v>430</v>
      </c>
      <c r="B215" t="s">
        <v>43</v>
      </c>
      <c r="C215">
        <v>37602</v>
      </c>
      <c r="D215" t="s">
        <v>27</v>
      </c>
      <c r="E215">
        <v>2022</v>
      </c>
      <c r="F215" t="s">
        <v>16</v>
      </c>
      <c r="G215" t="s">
        <v>17</v>
      </c>
      <c r="H215" t="s">
        <v>17</v>
      </c>
      <c r="I215" s="1">
        <v>44653</v>
      </c>
      <c r="J215" t="s">
        <v>17</v>
      </c>
      <c r="K215" t="s">
        <v>23</v>
      </c>
      <c r="L215" t="s">
        <v>19</v>
      </c>
    </row>
    <row r="216" spans="1:12" x14ac:dyDescent="0.25">
      <c r="A216" t="s">
        <v>431</v>
      </c>
      <c r="B216" t="s">
        <v>432</v>
      </c>
      <c r="C216" s="3">
        <v>34684</v>
      </c>
      <c r="D216" t="s">
        <v>15</v>
      </c>
      <c r="E216">
        <v>2022</v>
      </c>
      <c r="F216" t="s">
        <v>16</v>
      </c>
      <c r="G216" t="s">
        <v>17</v>
      </c>
      <c r="H216" t="s">
        <v>17</v>
      </c>
      <c r="I216" s="1">
        <v>44653</v>
      </c>
      <c r="J216" t="s">
        <v>17</v>
      </c>
      <c r="K216" t="s">
        <v>278</v>
      </c>
      <c r="L216" t="s">
        <v>31</v>
      </c>
    </row>
    <row r="217" spans="1:12" x14ac:dyDescent="0.25">
      <c r="A217" t="s">
        <v>431</v>
      </c>
      <c r="B217" t="s">
        <v>39</v>
      </c>
      <c r="C217" s="3">
        <v>37642</v>
      </c>
      <c r="D217" t="s">
        <v>27</v>
      </c>
      <c r="E217">
        <v>2022</v>
      </c>
      <c r="F217" t="s">
        <v>16</v>
      </c>
      <c r="G217" t="s">
        <v>17</v>
      </c>
      <c r="H217" t="s">
        <v>17</v>
      </c>
      <c r="I217" s="1">
        <v>44653</v>
      </c>
      <c r="J217" t="s">
        <v>17</v>
      </c>
      <c r="K217" t="s">
        <v>137</v>
      </c>
      <c r="L217" t="s">
        <v>71</v>
      </c>
    </row>
    <row r="218" spans="1:12" x14ac:dyDescent="0.25">
      <c r="A218" t="s">
        <v>431</v>
      </c>
      <c r="B218" t="s">
        <v>433</v>
      </c>
      <c r="C218" s="3">
        <v>56960</v>
      </c>
      <c r="D218" t="s">
        <v>15</v>
      </c>
      <c r="E218">
        <v>2022</v>
      </c>
      <c r="F218" t="s">
        <v>16</v>
      </c>
      <c r="G218" t="s">
        <v>17</v>
      </c>
      <c r="H218" t="s">
        <v>17</v>
      </c>
      <c r="I218" s="1">
        <v>44653</v>
      </c>
      <c r="J218" t="s">
        <v>17</v>
      </c>
      <c r="K218" t="s">
        <v>123</v>
      </c>
      <c r="L218" t="s">
        <v>24</v>
      </c>
    </row>
    <row r="219" spans="1:12" x14ac:dyDescent="0.25">
      <c r="A219" t="s">
        <v>431</v>
      </c>
      <c r="B219" t="s">
        <v>434</v>
      </c>
      <c r="C219" s="3">
        <v>39484</v>
      </c>
      <c r="D219" t="s">
        <v>15</v>
      </c>
      <c r="E219">
        <v>2022</v>
      </c>
      <c r="F219" t="s">
        <v>16</v>
      </c>
      <c r="G219" t="s">
        <v>17</v>
      </c>
      <c r="H219" t="s">
        <v>17</v>
      </c>
      <c r="I219" s="1">
        <v>44653</v>
      </c>
      <c r="J219" t="s">
        <v>17</v>
      </c>
      <c r="K219" t="s">
        <v>63</v>
      </c>
      <c r="L219" t="s">
        <v>24</v>
      </c>
    </row>
    <row r="220" spans="1:12" x14ac:dyDescent="0.25">
      <c r="A220" t="s">
        <v>435</v>
      </c>
      <c r="B220" t="s">
        <v>436</v>
      </c>
      <c r="C220" s="3">
        <v>26568</v>
      </c>
      <c r="D220" t="s">
        <v>15</v>
      </c>
      <c r="E220">
        <v>2022</v>
      </c>
      <c r="F220" t="s">
        <v>16</v>
      </c>
      <c r="G220" t="s">
        <v>17</v>
      </c>
      <c r="H220" t="s">
        <v>17</v>
      </c>
      <c r="I220" s="1">
        <v>44653</v>
      </c>
      <c r="J220" t="s">
        <v>17</v>
      </c>
      <c r="K220" t="s">
        <v>57</v>
      </c>
      <c r="L220" t="s">
        <v>71</v>
      </c>
    </row>
    <row r="221" spans="1:12" x14ac:dyDescent="0.25">
      <c r="A221" t="s">
        <v>437</v>
      </c>
      <c r="B221" t="s">
        <v>103</v>
      </c>
      <c r="C221" s="3">
        <v>37795</v>
      </c>
      <c r="D221" t="s">
        <v>27</v>
      </c>
      <c r="E221">
        <v>2022</v>
      </c>
      <c r="F221" t="s">
        <v>16</v>
      </c>
      <c r="G221" t="s">
        <v>17</v>
      </c>
      <c r="H221" t="s">
        <v>17</v>
      </c>
      <c r="I221" s="1">
        <v>44653</v>
      </c>
      <c r="J221" t="s">
        <v>17</v>
      </c>
      <c r="K221" t="s">
        <v>286</v>
      </c>
      <c r="L221" t="s">
        <v>71</v>
      </c>
    </row>
    <row r="222" spans="1:12" x14ac:dyDescent="0.25">
      <c r="A222" t="s">
        <v>438</v>
      </c>
      <c r="B222" t="s">
        <v>439</v>
      </c>
      <c r="C222" s="3">
        <v>38270</v>
      </c>
      <c r="D222" t="s">
        <v>27</v>
      </c>
      <c r="E222">
        <v>2022</v>
      </c>
      <c r="F222" t="s">
        <v>16</v>
      </c>
      <c r="G222" t="s">
        <v>17</v>
      </c>
      <c r="H222" t="s">
        <v>17</v>
      </c>
      <c r="I222" s="1">
        <v>44653</v>
      </c>
      <c r="J222" t="s">
        <v>17</v>
      </c>
      <c r="K222" t="s">
        <v>28</v>
      </c>
      <c r="L222" t="s">
        <v>24</v>
      </c>
    </row>
    <row r="223" spans="1:12" x14ac:dyDescent="0.25">
      <c r="A223" t="s">
        <v>440</v>
      </c>
      <c r="B223" t="s">
        <v>424</v>
      </c>
      <c r="C223" s="3">
        <v>63504</v>
      </c>
      <c r="D223" t="s">
        <v>15</v>
      </c>
      <c r="E223">
        <v>2022</v>
      </c>
      <c r="F223" t="s">
        <v>16</v>
      </c>
      <c r="G223" t="s">
        <v>17</v>
      </c>
      <c r="H223" t="s">
        <v>17</v>
      </c>
      <c r="I223" s="1">
        <v>44653</v>
      </c>
      <c r="J223" t="s">
        <v>17</v>
      </c>
      <c r="K223" t="s">
        <v>93</v>
      </c>
      <c r="L223" t="s">
        <v>24</v>
      </c>
    </row>
    <row r="224" spans="1:12" x14ac:dyDescent="0.25">
      <c r="A224" t="s">
        <v>441</v>
      </c>
      <c r="B224" t="s">
        <v>43</v>
      </c>
      <c r="C224" s="3">
        <v>35557</v>
      </c>
      <c r="D224" t="s">
        <v>15</v>
      </c>
      <c r="E224">
        <v>2022</v>
      </c>
      <c r="F224" t="s">
        <v>16</v>
      </c>
      <c r="G224" t="s">
        <v>17</v>
      </c>
      <c r="H224" t="s">
        <v>17</v>
      </c>
      <c r="I224" s="1">
        <v>44653</v>
      </c>
      <c r="J224" t="s">
        <v>17</v>
      </c>
      <c r="K224" t="s">
        <v>28</v>
      </c>
      <c r="L224" t="s">
        <v>24</v>
      </c>
    </row>
    <row r="225" spans="1:12" hidden="1" x14ac:dyDescent="0.25">
      <c r="A225" t="s">
        <v>442</v>
      </c>
      <c r="B225" t="s">
        <v>88</v>
      </c>
      <c r="C225">
        <v>33725</v>
      </c>
      <c r="D225" t="s">
        <v>15</v>
      </c>
      <c r="E225">
        <v>2022</v>
      </c>
      <c r="F225" t="s">
        <v>16</v>
      </c>
      <c r="G225" t="s">
        <v>17</v>
      </c>
      <c r="H225" t="s">
        <v>17</v>
      </c>
      <c r="I225" s="1">
        <v>44653</v>
      </c>
      <c r="J225" t="s">
        <v>17</v>
      </c>
      <c r="K225" t="s">
        <v>443</v>
      </c>
      <c r="L225" t="s">
        <v>19</v>
      </c>
    </row>
    <row r="226" spans="1:12" x14ac:dyDescent="0.25">
      <c r="A226" t="s">
        <v>444</v>
      </c>
      <c r="B226" t="s">
        <v>189</v>
      </c>
      <c r="C226" s="3">
        <v>39312</v>
      </c>
      <c r="D226" t="s">
        <v>113</v>
      </c>
      <c r="E226">
        <v>2022</v>
      </c>
      <c r="F226" t="s">
        <v>16</v>
      </c>
      <c r="G226" t="s">
        <v>17</v>
      </c>
      <c r="H226" t="s">
        <v>17</v>
      </c>
      <c r="I226" s="1">
        <v>44653</v>
      </c>
      <c r="J226" t="s">
        <v>17</v>
      </c>
      <c r="K226" t="s">
        <v>28</v>
      </c>
      <c r="L226" t="s">
        <v>24</v>
      </c>
    </row>
    <row r="227" spans="1:12" x14ac:dyDescent="0.25">
      <c r="A227" t="s">
        <v>445</v>
      </c>
      <c r="B227" t="s">
        <v>77</v>
      </c>
      <c r="C227" s="3">
        <v>61247</v>
      </c>
      <c r="D227" t="s">
        <v>15</v>
      </c>
      <c r="E227">
        <v>2022</v>
      </c>
      <c r="F227" t="s">
        <v>16</v>
      </c>
      <c r="G227" t="s">
        <v>17</v>
      </c>
      <c r="H227" t="s">
        <v>17</v>
      </c>
      <c r="I227" s="1">
        <v>44653</v>
      </c>
      <c r="J227" t="s">
        <v>17</v>
      </c>
      <c r="K227" t="s">
        <v>150</v>
      </c>
      <c r="L227" t="s">
        <v>24</v>
      </c>
    </row>
    <row r="228" spans="1:12" x14ac:dyDescent="0.25">
      <c r="A228" t="s">
        <v>446</v>
      </c>
      <c r="B228" t="s">
        <v>447</v>
      </c>
      <c r="C228" s="3">
        <v>1316</v>
      </c>
      <c r="D228" t="s">
        <v>27</v>
      </c>
      <c r="E228">
        <v>2022</v>
      </c>
      <c r="F228" t="s">
        <v>16</v>
      </c>
      <c r="G228" t="s">
        <v>17</v>
      </c>
      <c r="H228" t="s">
        <v>17</v>
      </c>
      <c r="I228" s="1">
        <v>44653</v>
      </c>
      <c r="J228" t="s">
        <v>17</v>
      </c>
      <c r="K228" t="s">
        <v>63</v>
      </c>
      <c r="L228" t="s">
        <v>24</v>
      </c>
    </row>
    <row r="229" spans="1:12" x14ac:dyDescent="0.25">
      <c r="A229" t="s">
        <v>448</v>
      </c>
      <c r="B229" t="s">
        <v>432</v>
      </c>
      <c r="C229" s="3">
        <v>56093</v>
      </c>
      <c r="D229" t="s">
        <v>113</v>
      </c>
      <c r="E229">
        <v>2022</v>
      </c>
      <c r="F229" t="s">
        <v>16</v>
      </c>
      <c r="G229" t="s">
        <v>17</v>
      </c>
      <c r="H229" t="s">
        <v>17</v>
      </c>
      <c r="I229" s="1">
        <v>44653</v>
      </c>
      <c r="J229" t="s">
        <v>17</v>
      </c>
      <c r="K229" t="s">
        <v>28</v>
      </c>
      <c r="L229" t="s">
        <v>71</v>
      </c>
    </row>
    <row r="230" spans="1:12" hidden="1" x14ac:dyDescent="0.25">
      <c r="A230" t="s">
        <v>449</v>
      </c>
      <c r="B230" t="s">
        <v>450</v>
      </c>
      <c r="C230">
        <v>39527</v>
      </c>
      <c r="D230" t="s">
        <v>15</v>
      </c>
      <c r="E230">
        <v>2022</v>
      </c>
      <c r="F230" t="s">
        <v>16</v>
      </c>
      <c r="G230" t="s">
        <v>17</v>
      </c>
      <c r="H230" t="s">
        <v>17</v>
      </c>
      <c r="I230" s="1">
        <v>44653</v>
      </c>
      <c r="J230" t="s">
        <v>17</v>
      </c>
      <c r="K230" t="s">
        <v>18</v>
      </c>
      <c r="L230" t="s">
        <v>19</v>
      </c>
    </row>
    <row r="231" spans="1:12" x14ac:dyDescent="0.25">
      <c r="A231" t="s">
        <v>451</v>
      </c>
      <c r="B231" t="s">
        <v>452</v>
      </c>
      <c r="C231" s="3">
        <v>61740</v>
      </c>
      <c r="D231" t="s">
        <v>113</v>
      </c>
      <c r="E231">
        <v>2022</v>
      </c>
      <c r="F231" t="s">
        <v>16</v>
      </c>
      <c r="G231" t="s">
        <v>17</v>
      </c>
      <c r="H231" t="s">
        <v>17</v>
      </c>
      <c r="I231" s="1">
        <v>44653</v>
      </c>
      <c r="J231" t="s">
        <v>17</v>
      </c>
      <c r="K231" t="s">
        <v>453</v>
      </c>
      <c r="L231" t="s">
        <v>71</v>
      </c>
    </row>
    <row r="232" spans="1:12" x14ac:dyDescent="0.25">
      <c r="A232" t="s">
        <v>454</v>
      </c>
      <c r="B232" t="s">
        <v>455</v>
      </c>
      <c r="C232" s="3">
        <v>33103</v>
      </c>
      <c r="D232" t="s">
        <v>15</v>
      </c>
      <c r="E232">
        <v>2022</v>
      </c>
      <c r="F232" t="s">
        <v>16</v>
      </c>
      <c r="G232" t="s">
        <v>17</v>
      </c>
      <c r="H232" t="s">
        <v>17</v>
      </c>
      <c r="I232" s="1">
        <v>44653</v>
      </c>
      <c r="J232" t="s">
        <v>17</v>
      </c>
      <c r="K232" t="s">
        <v>28</v>
      </c>
      <c r="L232" t="s">
        <v>31</v>
      </c>
    </row>
    <row r="233" spans="1:12" hidden="1" x14ac:dyDescent="0.25">
      <c r="A233" t="s">
        <v>454</v>
      </c>
      <c r="B233" t="s">
        <v>456</v>
      </c>
      <c r="C233">
        <v>97095</v>
      </c>
      <c r="D233" t="s">
        <v>15</v>
      </c>
      <c r="E233">
        <v>2022</v>
      </c>
      <c r="F233" t="s">
        <v>16</v>
      </c>
      <c r="G233" t="s">
        <v>17</v>
      </c>
      <c r="H233" t="s">
        <v>17</v>
      </c>
      <c r="I233" s="1">
        <v>44653</v>
      </c>
      <c r="J233" t="s">
        <v>17</v>
      </c>
      <c r="K233" t="s">
        <v>57</v>
      </c>
      <c r="L233" t="s">
        <v>19</v>
      </c>
    </row>
    <row r="234" spans="1:12" hidden="1" x14ac:dyDescent="0.25">
      <c r="A234" t="s">
        <v>457</v>
      </c>
      <c r="B234" t="s">
        <v>275</v>
      </c>
      <c r="C234">
        <v>52558</v>
      </c>
      <c r="D234" t="s">
        <v>15</v>
      </c>
      <c r="E234">
        <v>2022</v>
      </c>
      <c r="F234" t="s">
        <v>16</v>
      </c>
      <c r="G234" t="s">
        <v>17</v>
      </c>
      <c r="H234" t="s">
        <v>17</v>
      </c>
      <c r="I234" s="1">
        <v>44653</v>
      </c>
      <c r="J234" t="s">
        <v>17</v>
      </c>
      <c r="K234" t="s">
        <v>18</v>
      </c>
      <c r="L234" t="s">
        <v>19</v>
      </c>
    </row>
    <row r="235" spans="1:12" hidden="1" x14ac:dyDescent="0.25">
      <c r="A235" t="s">
        <v>458</v>
      </c>
      <c r="B235" t="s">
        <v>459</v>
      </c>
      <c r="C235">
        <v>43144</v>
      </c>
      <c r="D235" t="s">
        <v>15</v>
      </c>
      <c r="E235">
        <v>2022</v>
      </c>
      <c r="F235" t="s">
        <v>16</v>
      </c>
      <c r="G235" t="s">
        <v>17</v>
      </c>
      <c r="H235" t="s">
        <v>17</v>
      </c>
      <c r="I235" s="1">
        <v>44653</v>
      </c>
      <c r="J235" t="s">
        <v>17</v>
      </c>
      <c r="K235" t="s">
        <v>63</v>
      </c>
      <c r="L235" t="s">
        <v>19</v>
      </c>
    </row>
    <row r="236" spans="1:12" x14ac:dyDescent="0.25">
      <c r="A236" t="s">
        <v>460</v>
      </c>
      <c r="B236" t="s">
        <v>53</v>
      </c>
      <c r="C236" s="3">
        <v>8641</v>
      </c>
      <c r="D236" t="s">
        <v>27</v>
      </c>
      <c r="E236">
        <v>2022</v>
      </c>
      <c r="F236" t="s">
        <v>16</v>
      </c>
      <c r="G236" t="s">
        <v>17</v>
      </c>
      <c r="H236" t="s">
        <v>17</v>
      </c>
      <c r="I236" s="1">
        <v>44653</v>
      </c>
      <c r="J236" t="s">
        <v>17</v>
      </c>
      <c r="K236" t="s">
        <v>23</v>
      </c>
      <c r="L236" t="s">
        <v>71</v>
      </c>
    </row>
    <row r="237" spans="1:12" x14ac:dyDescent="0.25">
      <c r="A237" t="s">
        <v>460</v>
      </c>
      <c r="B237" t="s">
        <v>461</v>
      </c>
      <c r="C237" s="3">
        <v>5482</v>
      </c>
      <c r="D237" t="s">
        <v>27</v>
      </c>
      <c r="E237">
        <v>2022</v>
      </c>
      <c r="F237" t="s">
        <v>16</v>
      </c>
      <c r="G237" t="s">
        <v>17</v>
      </c>
      <c r="H237" t="s">
        <v>17</v>
      </c>
      <c r="I237" s="1">
        <v>44653</v>
      </c>
      <c r="J237" t="s">
        <v>17</v>
      </c>
      <c r="K237" t="s">
        <v>68</v>
      </c>
      <c r="L237" t="s">
        <v>71</v>
      </c>
    </row>
    <row r="238" spans="1:12" hidden="1" x14ac:dyDescent="0.25">
      <c r="A238" t="s">
        <v>462</v>
      </c>
      <c r="B238" t="s">
        <v>463</v>
      </c>
      <c r="C238">
        <v>39830</v>
      </c>
      <c r="D238" t="s">
        <v>15</v>
      </c>
      <c r="E238">
        <v>2022</v>
      </c>
      <c r="F238" t="s">
        <v>16</v>
      </c>
      <c r="G238" t="s">
        <v>17</v>
      </c>
      <c r="H238" t="s">
        <v>17</v>
      </c>
      <c r="I238" s="1">
        <v>44653</v>
      </c>
      <c r="J238" t="s">
        <v>17</v>
      </c>
      <c r="K238" t="s">
        <v>23</v>
      </c>
      <c r="L238" t="s">
        <v>19</v>
      </c>
    </row>
    <row r="239" spans="1:12" x14ac:dyDescent="0.25">
      <c r="A239" t="s">
        <v>429</v>
      </c>
      <c r="B239" t="s">
        <v>464</v>
      </c>
      <c r="C239" s="3">
        <v>42650</v>
      </c>
      <c r="D239" t="s">
        <v>27</v>
      </c>
      <c r="E239">
        <v>2022</v>
      </c>
      <c r="F239" t="s">
        <v>16</v>
      </c>
      <c r="G239" t="s">
        <v>17</v>
      </c>
      <c r="H239" t="s">
        <v>17</v>
      </c>
      <c r="I239" s="1">
        <v>44653</v>
      </c>
      <c r="J239" t="s">
        <v>17</v>
      </c>
      <c r="K239" t="s">
        <v>23</v>
      </c>
      <c r="L239" t="s">
        <v>24</v>
      </c>
    </row>
    <row r="240" spans="1:12" x14ac:dyDescent="0.25">
      <c r="A240" t="s">
        <v>465</v>
      </c>
      <c r="B240" t="s">
        <v>466</v>
      </c>
      <c r="C240" s="3">
        <v>26576</v>
      </c>
      <c r="D240" t="s">
        <v>15</v>
      </c>
      <c r="E240">
        <v>2022</v>
      </c>
      <c r="F240" t="s">
        <v>16</v>
      </c>
      <c r="G240" t="s">
        <v>17</v>
      </c>
      <c r="H240" t="s">
        <v>17</v>
      </c>
      <c r="I240" s="1">
        <v>44653</v>
      </c>
      <c r="J240" t="s">
        <v>17</v>
      </c>
      <c r="K240" t="s">
        <v>28</v>
      </c>
      <c r="L240" t="s">
        <v>24</v>
      </c>
    </row>
    <row r="241" spans="1:12" x14ac:dyDescent="0.25">
      <c r="A241" t="s">
        <v>467</v>
      </c>
      <c r="B241" t="s">
        <v>76</v>
      </c>
      <c r="C241" s="3">
        <v>46455</v>
      </c>
      <c r="D241" t="s">
        <v>15</v>
      </c>
      <c r="E241">
        <v>2022</v>
      </c>
      <c r="F241" t="s">
        <v>16</v>
      </c>
      <c r="G241" t="s">
        <v>17</v>
      </c>
      <c r="H241" t="s">
        <v>17</v>
      </c>
      <c r="I241" s="1">
        <v>44653</v>
      </c>
      <c r="J241" t="s">
        <v>17</v>
      </c>
      <c r="K241" t="s">
        <v>23</v>
      </c>
      <c r="L241" t="s">
        <v>71</v>
      </c>
    </row>
    <row r="242" spans="1:12" x14ac:dyDescent="0.25">
      <c r="A242" t="s">
        <v>468</v>
      </c>
      <c r="B242" t="s">
        <v>198</v>
      </c>
      <c r="C242" s="3">
        <v>36221</v>
      </c>
      <c r="D242" t="s">
        <v>15</v>
      </c>
      <c r="E242">
        <v>2022</v>
      </c>
      <c r="F242" t="s">
        <v>16</v>
      </c>
      <c r="G242" t="s">
        <v>17</v>
      </c>
      <c r="H242" t="s">
        <v>17</v>
      </c>
      <c r="I242" s="1">
        <v>44653</v>
      </c>
      <c r="J242" t="s">
        <v>17</v>
      </c>
      <c r="K242" t="s">
        <v>365</v>
      </c>
      <c r="L242" t="s">
        <v>71</v>
      </c>
    </row>
    <row r="243" spans="1:12" x14ac:dyDescent="0.25">
      <c r="A243" t="s">
        <v>469</v>
      </c>
      <c r="B243" t="s">
        <v>470</v>
      </c>
      <c r="C243" s="3">
        <v>40418</v>
      </c>
      <c r="D243" t="s">
        <v>15</v>
      </c>
      <c r="E243">
        <v>2022</v>
      </c>
      <c r="F243" t="s">
        <v>16</v>
      </c>
      <c r="G243" t="s">
        <v>17</v>
      </c>
      <c r="H243" t="s">
        <v>17</v>
      </c>
      <c r="I243" s="1">
        <v>44653</v>
      </c>
      <c r="J243" t="s">
        <v>17</v>
      </c>
      <c r="K243" t="s">
        <v>23</v>
      </c>
      <c r="L243" t="s">
        <v>31</v>
      </c>
    </row>
    <row r="244" spans="1:12" x14ac:dyDescent="0.25">
      <c r="A244" t="s">
        <v>471</v>
      </c>
      <c r="B244" t="s">
        <v>84</v>
      </c>
      <c r="C244" s="3">
        <v>49787</v>
      </c>
      <c r="D244" t="s">
        <v>15</v>
      </c>
      <c r="E244">
        <v>2022</v>
      </c>
      <c r="F244" t="s">
        <v>16</v>
      </c>
      <c r="G244" t="s">
        <v>17</v>
      </c>
      <c r="H244" t="s">
        <v>17</v>
      </c>
      <c r="I244" s="1">
        <v>44653</v>
      </c>
      <c r="J244" t="s">
        <v>17</v>
      </c>
      <c r="K244" t="s">
        <v>44</v>
      </c>
      <c r="L244" t="s">
        <v>31</v>
      </c>
    </row>
    <row r="245" spans="1:12" hidden="1" x14ac:dyDescent="0.25">
      <c r="A245" t="s">
        <v>471</v>
      </c>
      <c r="B245" t="s">
        <v>106</v>
      </c>
      <c r="C245">
        <v>30867</v>
      </c>
      <c r="D245" t="s">
        <v>15</v>
      </c>
      <c r="E245">
        <v>2022</v>
      </c>
      <c r="F245" t="s">
        <v>16</v>
      </c>
      <c r="G245" t="s">
        <v>17</v>
      </c>
      <c r="H245" t="s">
        <v>17</v>
      </c>
      <c r="I245" s="1">
        <v>44653</v>
      </c>
      <c r="J245" t="s">
        <v>17</v>
      </c>
      <c r="K245" t="s">
        <v>472</v>
      </c>
      <c r="L245" t="s">
        <v>19</v>
      </c>
    </row>
    <row r="246" spans="1:12" hidden="1" x14ac:dyDescent="0.25">
      <c r="A246" t="s">
        <v>471</v>
      </c>
      <c r="B246" t="s">
        <v>77</v>
      </c>
      <c r="C246">
        <v>48227</v>
      </c>
      <c r="D246" t="s">
        <v>15</v>
      </c>
      <c r="E246">
        <v>2022</v>
      </c>
      <c r="F246" t="s">
        <v>16</v>
      </c>
      <c r="G246" t="s">
        <v>17</v>
      </c>
      <c r="H246" t="s">
        <v>17</v>
      </c>
      <c r="I246" s="1">
        <v>44653</v>
      </c>
      <c r="J246" t="s">
        <v>17</v>
      </c>
      <c r="K246" t="s">
        <v>28</v>
      </c>
      <c r="L246" t="s">
        <v>19</v>
      </c>
    </row>
    <row r="247" spans="1:12" x14ac:dyDescent="0.25">
      <c r="A247" t="s">
        <v>471</v>
      </c>
      <c r="B247" t="s">
        <v>473</v>
      </c>
      <c r="C247" s="3">
        <v>52169</v>
      </c>
      <c r="D247" t="s">
        <v>15</v>
      </c>
      <c r="E247">
        <v>2022</v>
      </c>
      <c r="F247" t="s">
        <v>16</v>
      </c>
      <c r="G247" t="s">
        <v>17</v>
      </c>
      <c r="H247" t="s">
        <v>17</v>
      </c>
      <c r="I247" s="1">
        <v>44653</v>
      </c>
      <c r="J247" t="s">
        <v>17</v>
      </c>
      <c r="K247" t="s">
        <v>28</v>
      </c>
      <c r="L247" t="s">
        <v>31</v>
      </c>
    </row>
    <row r="248" spans="1:12" hidden="1" x14ac:dyDescent="0.25">
      <c r="A248" t="s">
        <v>471</v>
      </c>
      <c r="B248" t="s">
        <v>132</v>
      </c>
      <c r="C248">
        <v>47211</v>
      </c>
      <c r="D248" t="s">
        <v>15</v>
      </c>
      <c r="E248">
        <v>2022</v>
      </c>
      <c r="F248" t="s">
        <v>16</v>
      </c>
      <c r="G248" t="s">
        <v>17</v>
      </c>
      <c r="H248" t="s">
        <v>17</v>
      </c>
      <c r="I248" s="1">
        <v>44653</v>
      </c>
      <c r="J248" t="s">
        <v>17</v>
      </c>
      <c r="K248" t="s">
        <v>474</v>
      </c>
      <c r="L248" t="s">
        <v>19</v>
      </c>
    </row>
    <row r="249" spans="1:12" hidden="1" x14ac:dyDescent="0.25">
      <c r="A249" t="s">
        <v>475</v>
      </c>
      <c r="B249" t="s">
        <v>149</v>
      </c>
      <c r="C249">
        <v>33133</v>
      </c>
      <c r="D249" t="s">
        <v>15</v>
      </c>
      <c r="E249">
        <v>2022</v>
      </c>
      <c r="F249" t="s">
        <v>16</v>
      </c>
      <c r="G249" t="s">
        <v>17</v>
      </c>
      <c r="H249" t="s">
        <v>17</v>
      </c>
      <c r="I249" s="1">
        <v>44653</v>
      </c>
      <c r="J249" t="s">
        <v>17</v>
      </c>
      <c r="K249" t="s">
        <v>54</v>
      </c>
      <c r="L249" t="s">
        <v>19</v>
      </c>
    </row>
    <row r="250" spans="1:12" x14ac:dyDescent="0.25">
      <c r="A250" t="s">
        <v>476</v>
      </c>
      <c r="B250" t="s">
        <v>477</v>
      </c>
      <c r="C250" s="3">
        <v>37051</v>
      </c>
      <c r="D250" t="s">
        <v>15</v>
      </c>
      <c r="E250">
        <v>2022</v>
      </c>
      <c r="F250" t="s">
        <v>16</v>
      </c>
      <c r="G250" t="s">
        <v>17</v>
      </c>
      <c r="H250" t="s">
        <v>17</v>
      </c>
      <c r="I250" s="1">
        <v>44653</v>
      </c>
      <c r="J250" t="s">
        <v>17</v>
      </c>
      <c r="K250" t="s">
        <v>28</v>
      </c>
      <c r="L250" t="s">
        <v>31</v>
      </c>
    </row>
    <row r="251" spans="1:12" x14ac:dyDescent="0.25">
      <c r="A251" t="s">
        <v>478</v>
      </c>
      <c r="B251" t="s">
        <v>74</v>
      </c>
      <c r="C251" s="3">
        <v>33438</v>
      </c>
      <c r="D251" t="s">
        <v>15</v>
      </c>
      <c r="E251">
        <v>2022</v>
      </c>
      <c r="F251" t="s">
        <v>16</v>
      </c>
      <c r="G251" t="s">
        <v>17</v>
      </c>
      <c r="H251" t="s">
        <v>17</v>
      </c>
      <c r="I251" s="1">
        <v>44653</v>
      </c>
      <c r="J251" t="s">
        <v>17</v>
      </c>
      <c r="K251" t="s">
        <v>18</v>
      </c>
      <c r="L251" t="s">
        <v>24</v>
      </c>
    </row>
    <row r="252" spans="1:12" x14ac:dyDescent="0.25">
      <c r="A252" t="s">
        <v>479</v>
      </c>
      <c r="B252" t="s">
        <v>198</v>
      </c>
      <c r="C252" s="3">
        <v>41333</v>
      </c>
      <c r="D252" t="s">
        <v>15</v>
      </c>
      <c r="E252">
        <v>2022</v>
      </c>
      <c r="F252" t="s">
        <v>16</v>
      </c>
      <c r="G252" t="s">
        <v>17</v>
      </c>
      <c r="H252" t="s">
        <v>17</v>
      </c>
      <c r="I252" s="1">
        <v>44653</v>
      </c>
      <c r="J252" t="s">
        <v>17</v>
      </c>
      <c r="K252" t="s">
        <v>63</v>
      </c>
      <c r="L252" t="s">
        <v>24</v>
      </c>
    </row>
    <row r="253" spans="1:12" hidden="1" x14ac:dyDescent="0.25">
      <c r="A253" t="s">
        <v>480</v>
      </c>
      <c r="B253" t="s">
        <v>481</v>
      </c>
      <c r="C253">
        <v>44661</v>
      </c>
      <c r="D253" t="s">
        <v>27</v>
      </c>
      <c r="E253">
        <v>2022</v>
      </c>
      <c r="F253" t="s">
        <v>16</v>
      </c>
      <c r="G253" t="s">
        <v>17</v>
      </c>
      <c r="H253" t="s">
        <v>17</v>
      </c>
      <c r="I253" s="1">
        <v>44653</v>
      </c>
      <c r="J253" t="s">
        <v>17</v>
      </c>
      <c r="K253" t="s">
        <v>23</v>
      </c>
      <c r="L253" t="s">
        <v>19</v>
      </c>
    </row>
    <row r="254" spans="1:12" x14ac:dyDescent="0.25">
      <c r="A254" t="s">
        <v>482</v>
      </c>
      <c r="B254" t="s">
        <v>371</v>
      </c>
      <c r="C254" s="3">
        <v>97588</v>
      </c>
      <c r="D254" t="s">
        <v>15</v>
      </c>
      <c r="E254">
        <v>2022</v>
      </c>
      <c r="F254" t="s">
        <v>16</v>
      </c>
      <c r="G254" t="s">
        <v>17</v>
      </c>
      <c r="H254" t="s">
        <v>17</v>
      </c>
      <c r="I254" s="1">
        <v>44653</v>
      </c>
      <c r="J254" t="s">
        <v>17</v>
      </c>
      <c r="K254" t="s">
        <v>23</v>
      </c>
      <c r="L254" t="s">
        <v>71</v>
      </c>
    </row>
    <row r="255" spans="1:12" x14ac:dyDescent="0.25">
      <c r="A255" t="s">
        <v>483</v>
      </c>
      <c r="B255" t="s">
        <v>484</v>
      </c>
      <c r="C255" s="3">
        <v>718</v>
      </c>
      <c r="D255" t="s">
        <v>27</v>
      </c>
      <c r="E255">
        <v>2022</v>
      </c>
      <c r="F255" t="s">
        <v>16</v>
      </c>
      <c r="G255" t="s">
        <v>17</v>
      </c>
      <c r="H255" t="s">
        <v>17</v>
      </c>
      <c r="I255" s="1">
        <v>44653</v>
      </c>
      <c r="J255" t="s">
        <v>17</v>
      </c>
      <c r="K255" t="s">
        <v>28</v>
      </c>
      <c r="L255" t="s">
        <v>24</v>
      </c>
    </row>
    <row r="256" spans="1:12" hidden="1" x14ac:dyDescent="0.25">
      <c r="A256" t="s">
        <v>485</v>
      </c>
      <c r="B256" t="s">
        <v>486</v>
      </c>
      <c r="C256">
        <v>61270</v>
      </c>
      <c r="D256" t="s">
        <v>15</v>
      </c>
      <c r="E256">
        <v>2022</v>
      </c>
      <c r="F256" t="s">
        <v>16</v>
      </c>
      <c r="G256" t="s">
        <v>17</v>
      </c>
      <c r="H256" t="s">
        <v>17</v>
      </c>
      <c r="I256" s="1">
        <v>44653</v>
      </c>
      <c r="J256" t="s">
        <v>17</v>
      </c>
      <c r="K256" t="s">
        <v>93</v>
      </c>
      <c r="L256" t="s">
        <v>19</v>
      </c>
    </row>
    <row r="257" spans="1:12" x14ac:dyDescent="0.25">
      <c r="A257" t="s">
        <v>487</v>
      </c>
      <c r="B257" t="s">
        <v>74</v>
      </c>
      <c r="C257" s="3">
        <v>54513</v>
      </c>
      <c r="D257" t="s">
        <v>15</v>
      </c>
      <c r="E257">
        <v>2022</v>
      </c>
      <c r="F257" t="s">
        <v>16</v>
      </c>
      <c r="G257" t="s">
        <v>17</v>
      </c>
      <c r="H257" t="s">
        <v>17</v>
      </c>
      <c r="I257" s="1">
        <v>44653</v>
      </c>
      <c r="J257" t="s">
        <v>17</v>
      </c>
      <c r="K257" t="s">
        <v>472</v>
      </c>
      <c r="L257" t="s">
        <v>24</v>
      </c>
    </row>
    <row r="258" spans="1:12" x14ac:dyDescent="0.25">
      <c r="A258" t="s">
        <v>488</v>
      </c>
      <c r="B258" t="s">
        <v>489</v>
      </c>
      <c r="C258" s="3">
        <v>41704</v>
      </c>
      <c r="D258" t="s">
        <v>15</v>
      </c>
      <c r="E258">
        <v>2022</v>
      </c>
      <c r="F258" t="s">
        <v>16</v>
      </c>
      <c r="G258" t="s">
        <v>17</v>
      </c>
      <c r="H258" t="s">
        <v>17</v>
      </c>
      <c r="I258" s="1">
        <v>44653</v>
      </c>
      <c r="J258" t="s">
        <v>17</v>
      </c>
      <c r="K258" t="s">
        <v>28</v>
      </c>
      <c r="L258" t="s">
        <v>31</v>
      </c>
    </row>
    <row r="259" spans="1:12" x14ac:dyDescent="0.25">
      <c r="A259" t="s">
        <v>488</v>
      </c>
      <c r="B259" t="s">
        <v>490</v>
      </c>
      <c r="C259" s="3">
        <v>39482</v>
      </c>
      <c r="D259" t="s">
        <v>15</v>
      </c>
      <c r="E259">
        <v>2022</v>
      </c>
      <c r="F259" t="s">
        <v>16</v>
      </c>
      <c r="G259" t="s">
        <v>17</v>
      </c>
      <c r="H259" t="s">
        <v>17</v>
      </c>
      <c r="I259" s="1">
        <v>44653</v>
      </c>
      <c r="J259" t="s">
        <v>17</v>
      </c>
      <c r="K259" t="s">
        <v>278</v>
      </c>
      <c r="L259" t="s">
        <v>24</v>
      </c>
    </row>
    <row r="260" spans="1:12" x14ac:dyDescent="0.25">
      <c r="A260" t="s">
        <v>491</v>
      </c>
      <c r="B260" t="s">
        <v>492</v>
      </c>
      <c r="C260" s="3">
        <v>3430</v>
      </c>
      <c r="D260" t="s">
        <v>27</v>
      </c>
      <c r="E260">
        <v>2022</v>
      </c>
      <c r="F260" t="s">
        <v>16</v>
      </c>
      <c r="G260" t="s">
        <v>17</v>
      </c>
      <c r="H260" t="s">
        <v>17</v>
      </c>
      <c r="I260" s="1">
        <v>44653</v>
      </c>
      <c r="J260" t="s">
        <v>17</v>
      </c>
      <c r="K260" t="s">
        <v>28</v>
      </c>
      <c r="L260" t="s">
        <v>114</v>
      </c>
    </row>
    <row r="261" spans="1:12" x14ac:dyDescent="0.25">
      <c r="A261" t="s">
        <v>493</v>
      </c>
      <c r="B261" t="s">
        <v>494</v>
      </c>
      <c r="C261" s="3">
        <v>44236</v>
      </c>
      <c r="D261" t="s">
        <v>15</v>
      </c>
      <c r="E261">
        <v>2022</v>
      </c>
      <c r="F261" t="s">
        <v>16</v>
      </c>
      <c r="G261" t="s">
        <v>17</v>
      </c>
      <c r="H261" t="s">
        <v>17</v>
      </c>
      <c r="I261" s="1">
        <v>44653</v>
      </c>
      <c r="J261" t="s">
        <v>17</v>
      </c>
      <c r="K261" t="s">
        <v>23</v>
      </c>
      <c r="L261" t="s">
        <v>71</v>
      </c>
    </row>
    <row r="262" spans="1:12" x14ac:dyDescent="0.25">
      <c r="A262" t="s">
        <v>495</v>
      </c>
      <c r="B262" t="s">
        <v>45</v>
      </c>
      <c r="C262" s="3">
        <v>97114</v>
      </c>
      <c r="D262" t="s">
        <v>27</v>
      </c>
      <c r="E262">
        <v>2022</v>
      </c>
      <c r="F262" t="s">
        <v>16</v>
      </c>
      <c r="G262" t="s">
        <v>17</v>
      </c>
      <c r="H262" t="s">
        <v>17</v>
      </c>
      <c r="I262" s="1">
        <v>44653</v>
      </c>
      <c r="J262" t="s">
        <v>17</v>
      </c>
      <c r="K262" t="s">
        <v>23</v>
      </c>
      <c r="L262" t="s">
        <v>71</v>
      </c>
    </row>
    <row r="263" spans="1:12" x14ac:dyDescent="0.25">
      <c r="A263" t="s">
        <v>496</v>
      </c>
      <c r="B263" t="s">
        <v>497</v>
      </c>
      <c r="C263" s="3">
        <v>39990</v>
      </c>
      <c r="D263" t="s">
        <v>15</v>
      </c>
      <c r="E263">
        <v>2022</v>
      </c>
      <c r="F263" t="s">
        <v>16</v>
      </c>
      <c r="G263" t="s">
        <v>17</v>
      </c>
      <c r="H263" t="s">
        <v>17</v>
      </c>
      <c r="I263" s="1">
        <v>44653</v>
      </c>
      <c r="J263" t="s">
        <v>17</v>
      </c>
      <c r="K263" t="s">
        <v>23</v>
      </c>
      <c r="L263" t="s">
        <v>31</v>
      </c>
    </row>
    <row r="264" spans="1:12" hidden="1" x14ac:dyDescent="0.25">
      <c r="A264" t="s">
        <v>498</v>
      </c>
      <c r="B264" t="s">
        <v>74</v>
      </c>
      <c r="C264">
        <v>32979</v>
      </c>
      <c r="D264" t="s">
        <v>15</v>
      </c>
      <c r="E264">
        <v>2022</v>
      </c>
      <c r="F264" t="s">
        <v>16</v>
      </c>
      <c r="G264" t="s">
        <v>17</v>
      </c>
      <c r="H264" t="s">
        <v>17</v>
      </c>
      <c r="I264" s="1">
        <v>44653</v>
      </c>
      <c r="J264" t="s">
        <v>17</v>
      </c>
      <c r="K264" t="s">
        <v>18</v>
      </c>
      <c r="L264" t="s">
        <v>19</v>
      </c>
    </row>
    <row r="265" spans="1:12" x14ac:dyDescent="0.25">
      <c r="A265" t="s">
        <v>499</v>
      </c>
      <c r="B265" t="s">
        <v>500</v>
      </c>
      <c r="C265" s="3">
        <v>46880</v>
      </c>
      <c r="D265" t="s">
        <v>113</v>
      </c>
      <c r="E265">
        <v>2022</v>
      </c>
      <c r="F265" t="s">
        <v>16</v>
      </c>
      <c r="G265" t="s">
        <v>17</v>
      </c>
      <c r="H265" t="s">
        <v>17</v>
      </c>
      <c r="I265" s="1">
        <v>44653</v>
      </c>
      <c r="J265" t="s">
        <v>17</v>
      </c>
      <c r="K265" t="s">
        <v>278</v>
      </c>
      <c r="L265" t="s">
        <v>71</v>
      </c>
    </row>
    <row r="266" spans="1:12" x14ac:dyDescent="0.25">
      <c r="A266" t="s">
        <v>501</v>
      </c>
      <c r="B266" t="s">
        <v>502</v>
      </c>
      <c r="C266" s="3">
        <v>55036</v>
      </c>
      <c r="D266" t="s">
        <v>15</v>
      </c>
      <c r="E266">
        <v>2022</v>
      </c>
      <c r="F266" t="s">
        <v>16</v>
      </c>
      <c r="G266" t="s">
        <v>17</v>
      </c>
      <c r="H266" t="s">
        <v>17</v>
      </c>
      <c r="I266" s="1">
        <v>44653</v>
      </c>
      <c r="J266" t="s">
        <v>17</v>
      </c>
      <c r="K266" t="s">
        <v>28</v>
      </c>
      <c r="L266" t="s">
        <v>31</v>
      </c>
    </row>
    <row r="267" spans="1:12" x14ac:dyDescent="0.25">
      <c r="A267" t="s">
        <v>503</v>
      </c>
      <c r="B267" t="s">
        <v>504</v>
      </c>
      <c r="C267" s="3">
        <v>34079</v>
      </c>
      <c r="D267" t="s">
        <v>15</v>
      </c>
      <c r="E267">
        <v>2022</v>
      </c>
      <c r="F267" t="s">
        <v>16</v>
      </c>
      <c r="G267" t="s">
        <v>17</v>
      </c>
      <c r="H267" t="s">
        <v>17</v>
      </c>
      <c r="I267" s="1">
        <v>44653</v>
      </c>
      <c r="J267" t="s">
        <v>17</v>
      </c>
      <c r="K267" t="s">
        <v>28</v>
      </c>
      <c r="L267" t="s">
        <v>31</v>
      </c>
    </row>
    <row r="268" spans="1:12" x14ac:dyDescent="0.25">
      <c r="A268" t="s">
        <v>505</v>
      </c>
      <c r="B268" t="s">
        <v>88</v>
      </c>
      <c r="C268" s="3">
        <v>97598</v>
      </c>
      <c r="D268" t="s">
        <v>15</v>
      </c>
      <c r="E268">
        <v>2022</v>
      </c>
      <c r="F268" t="s">
        <v>16</v>
      </c>
      <c r="G268" t="s">
        <v>17</v>
      </c>
      <c r="H268" t="s">
        <v>17</v>
      </c>
      <c r="I268" s="1">
        <v>44653</v>
      </c>
      <c r="J268" t="s">
        <v>17</v>
      </c>
      <c r="K268" t="s">
        <v>28</v>
      </c>
      <c r="L268" t="s">
        <v>31</v>
      </c>
    </row>
    <row r="269" spans="1:12" x14ac:dyDescent="0.25">
      <c r="A269" t="s">
        <v>506</v>
      </c>
      <c r="B269" t="s">
        <v>152</v>
      </c>
      <c r="C269" s="3">
        <v>21496</v>
      </c>
      <c r="D269" t="s">
        <v>27</v>
      </c>
      <c r="E269">
        <v>2022</v>
      </c>
      <c r="F269" t="s">
        <v>16</v>
      </c>
      <c r="G269" t="s">
        <v>17</v>
      </c>
      <c r="H269" t="s">
        <v>17</v>
      </c>
      <c r="I269" s="1">
        <v>44653</v>
      </c>
      <c r="J269" t="s">
        <v>17</v>
      </c>
      <c r="K269" t="s">
        <v>78</v>
      </c>
      <c r="L269" t="s">
        <v>71</v>
      </c>
    </row>
    <row r="270" spans="1:12" x14ac:dyDescent="0.25">
      <c r="A270" t="s">
        <v>507</v>
      </c>
      <c r="B270" t="s">
        <v>508</v>
      </c>
      <c r="C270" s="3">
        <v>47981</v>
      </c>
      <c r="D270" t="s">
        <v>101</v>
      </c>
      <c r="E270">
        <v>2022</v>
      </c>
      <c r="F270" t="s">
        <v>16</v>
      </c>
      <c r="G270" t="s">
        <v>17</v>
      </c>
      <c r="H270" t="s">
        <v>17</v>
      </c>
      <c r="I270" s="1">
        <v>44653</v>
      </c>
      <c r="J270" t="s">
        <v>17</v>
      </c>
      <c r="K270" t="s">
        <v>137</v>
      </c>
      <c r="L270" t="s">
        <v>71</v>
      </c>
    </row>
    <row r="271" spans="1:12" hidden="1" x14ac:dyDescent="0.25">
      <c r="A271" t="s">
        <v>509</v>
      </c>
      <c r="B271" t="s">
        <v>14</v>
      </c>
      <c r="C271">
        <v>48204</v>
      </c>
      <c r="D271" t="s">
        <v>27</v>
      </c>
      <c r="E271">
        <v>2022</v>
      </c>
      <c r="F271" t="s">
        <v>16</v>
      </c>
      <c r="G271" t="s">
        <v>17</v>
      </c>
      <c r="H271" t="s">
        <v>17</v>
      </c>
      <c r="I271" s="1">
        <v>44653</v>
      </c>
      <c r="J271" t="s">
        <v>17</v>
      </c>
      <c r="K271" t="s">
        <v>60</v>
      </c>
      <c r="L271" t="s">
        <v>19</v>
      </c>
    </row>
    <row r="272" spans="1:12" x14ac:dyDescent="0.25">
      <c r="A272" t="s">
        <v>510</v>
      </c>
      <c r="B272" t="s">
        <v>511</v>
      </c>
      <c r="C272" s="3">
        <v>48418</v>
      </c>
      <c r="D272" t="s">
        <v>27</v>
      </c>
      <c r="E272">
        <v>2022</v>
      </c>
      <c r="F272" t="s">
        <v>16</v>
      </c>
      <c r="G272" t="s">
        <v>17</v>
      </c>
      <c r="H272" t="s">
        <v>17</v>
      </c>
      <c r="I272" s="1">
        <v>44653</v>
      </c>
      <c r="J272" t="s">
        <v>17</v>
      </c>
      <c r="K272" t="s">
        <v>23</v>
      </c>
      <c r="L272" t="s">
        <v>393</v>
      </c>
    </row>
    <row r="273" spans="1:12" x14ac:dyDescent="0.25">
      <c r="A273" t="s">
        <v>512</v>
      </c>
      <c r="B273" t="s">
        <v>513</v>
      </c>
      <c r="C273" s="3">
        <v>49291</v>
      </c>
      <c r="D273" t="s">
        <v>27</v>
      </c>
      <c r="E273">
        <v>2022</v>
      </c>
      <c r="F273" t="s">
        <v>16</v>
      </c>
      <c r="G273" t="s">
        <v>17</v>
      </c>
      <c r="H273" t="s">
        <v>17</v>
      </c>
      <c r="I273" s="1">
        <v>44653</v>
      </c>
      <c r="J273" t="s">
        <v>17</v>
      </c>
      <c r="K273" t="s">
        <v>278</v>
      </c>
      <c r="L273" t="s">
        <v>71</v>
      </c>
    </row>
    <row r="274" spans="1:12" x14ac:dyDescent="0.25">
      <c r="A274" t="s">
        <v>514</v>
      </c>
      <c r="B274" t="s">
        <v>515</v>
      </c>
      <c r="C274" s="3">
        <v>21</v>
      </c>
      <c r="D274" t="s">
        <v>27</v>
      </c>
      <c r="E274">
        <v>2022</v>
      </c>
      <c r="F274" t="s">
        <v>16</v>
      </c>
      <c r="G274" t="s">
        <v>17</v>
      </c>
      <c r="H274" t="s">
        <v>17</v>
      </c>
      <c r="I274" s="1">
        <v>44653</v>
      </c>
      <c r="J274" t="s">
        <v>17</v>
      </c>
      <c r="K274" t="s">
        <v>63</v>
      </c>
      <c r="L274" t="s">
        <v>71</v>
      </c>
    </row>
    <row r="275" spans="1:12" hidden="1" x14ac:dyDescent="0.25">
      <c r="A275" t="s">
        <v>516</v>
      </c>
      <c r="B275" t="s">
        <v>517</v>
      </c>
      <c r="C275">
        <v>9418</v>
      </c>
      <c r="D275" t="s">
        <v>113</v>
      </c>
      <c r="E275">
        <v>2022</v>
      </c>
      <c r="F275" t="s">
        <v>16</v>
      </c>
      <c r="G275" t="s">
        <v>17</v>
      </c>
      <c r="H275" t="s">
        <v>17</v>
      </c>
      <c r="I275" s="1">
        <v>44653</v>
      </c>
      <c r="J275" t="s">
        <v>17</v>
      </c>
      <c r="K275" t="s">
        <v>60</v>
      </c>
      <c r="L275" t="s">
        <v>19</v>
      </c>
    </row>
    <row r="276" spans="1:12" x14ac:dyDescent="0.25">
      <c r="A276" t="s">
        <v>518</v>
      </c>
      <c r="B276" t="s">
        <v>519</v>
      </c>
      <c r="C276" s="3">
        <v>78048</v>
      </c>
      <c r="D276" t="s">
        <v>362</v>
      </c>
      <c r="E276">
        <v>2022</v>
      </c>
      <c r="F276" t="s">
        <v>16</v>
      </c>
      <c r="G276" t="s">
        <v>17</v>
      </c>
      <c r="H276" t="s">
        <v>17</v>
      </c>
      <c r="I276" s="1">
        <v>44653</v>
      </c>
      <c r="J276" t="s">
        <v>17</v>
      </c>
      <c r="K276" t="s">
        <v>230</v>
      </c>
      <c r="L276" t="s">
        <v>520</v>
      </c>
    </row>
    <row r="277" spans="1:12" x14ac:dyDescent="0.25">
      <c r="A277" t="s">
        <v>521</v>
      </c>
      <c r="B277" t="s">
        <v>522</v>
      </c>
      <c r="C277" s="3">
        <v>48956</v>
      </c>
      <c r="D277" t="s">
        <v>15</v>
      </c>
      <c r="E277">
        <v>2022</v>
      </c>
      <c r="F277" t="s">
        <v>16</v>
      </c>
      <c r="G277" t="s">
        <v>17</v>
      </c>
      <c r="H277" t="s">
        <v>17</v>
      </c>
      <c r="I277" s="1">
        <v>44653</v>
      </c>
      <c r="J277" t="s">
        <v>17</v>
      </c>
      <c r="K277" t="s">
        <v>28</v>
      </c>
      <c r="L277" t="s">
        <v>24</v>
      </c>
    </row>
    <row r="278" spans="1:12" x14ac:dyDescent="0.25">
      <c r="A278" t="s">
        <v>521</v>
      </c>
      <c r="B278" t="s">
        <v>149</v>
      </c>
      <c r="C278" s="3">
        <v>22228</v>
      </c>
      <c r="D278" t="s">
        <v>113</v>
      </c>
      <c r="E278">
        <v>2022</v>
      </c>
      <c r="F278" t="s">
        <v>16</v>
      </c>
      <c r="G278" t="s">
        <v>17</v>
      </c>
      <c r="H278" t="s">
        <v>17</v>
      </c>
      <c r="I278" s="1">
        <v>44653</v>
      </c>
      <c r="J278" t="s">
        <v>17</v>
      </c>
      <c r="K278" t="s">
        <v>137</v>
      </c>
      <c r="L278" t="s">
        <v>71</v>
      </c>
    </row>
    <row r="279" spans="1:12" x14ac:dyDescent="0.25">
      <c r="A279" t="s">
        <v>521</v>
      </c>
      <c r="B279" t="s">
        <v>523</v>
      </c>
      <c r="C279" s="3">
        <v>29521</v>
      </c>
      <c r="D279" t="s">
        <v>15</v>
      </c>
      <c r="E279">
        <v>2022</v>
      </c>
      <c r="F279" t="s">
        <v>16</v>
      </c>
      <c r="G279" t="s">
        <v>17</v>
      </c>
      <c r="H279" t="s">
        <v>17</v>
      </c>
      <c r="I279" s="1">
        <v>44653</v>
      </c>
      <c r="J279" t="s">
        <v>17</v>
      </c>
      <c r="K279" t="s">
        <v>37</v>
      </c>
      <c r="L279" t="s">
        <v>24</v>
      </c>
    </row>
    <row r="280" spans="1:12" x14ac:dyDescent="0.25">
      <c r="A280" t="s">
        <v>521</v>
      </c>
      <c r="B280" t="s">
        <v>88</v>
      </c>
      <c r="C280" s="3">
        <v>49065</v>
      </c>
      <c r="D280" t="s">
        <v>27</v>
      </c>
      <c r="E280">
        <v>2022</v>
      </c>
      <c r="F280" t="s">
        <v>16</v>
      </c>
      <c r="G280" t="s">
        <v>17</v>
      </c>
      <c r="H280" t="s">
        <v>17</v>
      </c>
      <c r="I280" s="1">
        <v>44653</v>
      </c>
      <c r="J280" t="s">
        <v>17</v>
      </c>
      <c r="K280" t="s">
        <v>34</v>
      </c>
      <c r="L280" t="s">
        <v>24</v>
      </c>
    </row>
    <row r="281" spans="1:12" x14ac:dyDescent="0.25">
      <c r="A281" t="s">
        <v>524</v>
      </c>
      <c r="B281" t="s">
        <v>525</v>
      </c>
      <c r="C281" s="3">
        <v>49410</v>
      </c>
      <c r="D281" t="s">
        <v>113</v>
      </c>
      <c r="E281">
        <v>2022</v>
      </c>
      <c r="F281" t="s">
        <v>16</v>
      </c>
      <c r="G281" t="s">
        <v>17</v>
      </c>
      <c r="H281" t="s">
        <v>17</v>
      </c>
      <c r="I281" s="1">
        <v>44653</v>
      </c>
      <c r="J281" t="s">
        <v>17</v>
      </c>
      <c r="K281" t="s">
        <v>23</v>
      </c>
      <c r="L281" t="s">
        <v>71</v>
      </c>
    </row>
    <row r="282" spans="1:12" x14ac:dyDescent="0.25">
      <c r="A282" t="s">
        <v>526</v>
      </c>
      <c r="B282" t="s">
        <v>125</v>
      </c>
      <c r="C282" s="3">
        <v>49611</v>
      </c>
      <c r="D282" t="s">
        <v>27</v>
      </c>
      <c r="E282">
        <v>2022</v>
      </c>
      <c r="F282" t="s">
        <v>16</v>
      </c>
      <c r="G282" t="s">
        <v>17</v>
      </c>
      <c r="H282" t="s">
        <v>17</v>
      </c>
      <c r="I282" s="1">
        <v>44653</v>
      </c>
      <c r="J282" t="s">
        <v>17</v>
      </c>
      <c r="K282" t="s">
        <v>28</v>
      </c>
      <c r="L282" t="s">
        <v>71</v>
      </c>
    </row>
    <row r="283" spans="1:12" x14ac:dyDescent="0.25">
      <c r="A283" t="s">
        <v>527</v>
      </c>
      <c r="B283" t="s">
        <v>283</v>
      </c>
      <c r="C283" s="3">
        <v>42654</v>
      </c>
      <c r="D283" t="s">
        <v>15</v>
      </c>
      <c r="E283">
        <v>2022</v>
      </c>
      <c r="F283" t="s">
        <v>16</v>
      </c>
      <c r="G283" t="s">
        <v>17</v>
      </c>
      <c r="H283" t="s">
        <v>17</v>
      </c>
      <c r="I283" s="1">
        <v>44653</v>
      </c>
      <c r="J283" t="s">
        <v>17</v>
      </c>
      <c r="K283" t="s">
        <v>78</v>
      </c>
      <c r="L283" t="s">
        <v>31</v>
      </c>
    </row>
    <row r="284" spans="1:12" x14ac:dyDescent="0.25">
      <c r="A284" t="s">
        <v>528</v>
      </c>
      <c r="B284" t="s">
        <v>77</v>
      </c>
      <c r="C284" s="3">
        <v>49649</v>
      </c>
      <c r="D284" t="s">
        <v>27</v>
      </c>
      <c r="E284">
        <v>2022</v>
      </c>
      <c r="F284" t="s">
        <v>16</v>
      </c>
      <c r="G284" t="s">
        <v>17</v>
      </c>
      <c r="H284" t="s">
        <v>17</v>
      </c>
      <c r="I284" s="1">
        <v>44653</v>
      </c>
      <c r="J284" t="s">
        <v>17</v>
      </c>
      <c r="K284" t="s">
        <v>85</v>
      </c>
      <c r="L284" t="s">
        <v>24</v>
      </c>
    </row>
    <row r="285" spans="1:12" hidden="1" x14ac:dyDescent="0.25">
      <c r="A285" t="s">
        <v>529</v>
      </c>
      <c r="B285" t="s">
        <v>74</v>
      </c>
      <c r="C285">
        <v>49678</v>
      </c>
      <c r="D285" t="s">
        <v>27</v>
      </c>
      <c r="E285">
        <v>2022</v>
      </c>
      <c r="F285" t="s">
        <v>16</v>
      </c>
      <c r="G285" t="s">
        <v>17</v>
      </c>
      <c r="H285" t="s">
        <v>17</v>
      </c>
      <c r="I285" s="1">
        <v>44653</v>
      </c>
      <c r="J285" t="s">
        <v>17</v>
      </c>
      <c r="K285" t="s">
        <v>44</v>
      </c>
      <c r="L285" t="s">
        <v>19</v>
      </c>
    </row>
    <row r="286" spans="1:12" hidden="1" x14ac:dyDescent="0.25">
      <c r="A286" t="s">
        <v>508</v>
      </c>
      <c r="B286" t="s">
        <v>355</v>
      </c>
      <c r="C286">
        <v>63205</v>
      </c>
      <c r="D286" t="s">
        <v>15</v>
      </c>
      <c r="E286">
        <v>2022</v>
      </c>
      <c r="F286" t="s">
        <v>16</v>
      </c>
      <c r="G286" t="s">
        <v>17</v>
      </c>
      <c r="H286" t="s">
        <v>17</v>
      </c>
      <c r="I286" s="1">
        <v>44653</v>
      </c>
      <c r="J286" t="s">
        <v>17</v>
      </c>
      <c r="K286" t="s">
        <v>23</v>
      </c>
      <c r="L286" t="s">
        <v>19</v>
      </c>
    </row>
    <row r="287" spans="1:12" x14ac:dyDescent="0.25">
      <c r="A287" t="s">
        <v>508</v>
      </c>
      <c r="B287" t="s">
        <v>530</v>
      </c>
      <c r="C287" s="3">
        <v>28185</v>
      </c>
      <c r="D287" t="s">
        <v>15</v>
      </c>
      <c r="E287">
        <v>2022</v>
      </c>
      <c r="F287" t="s">
        <v>16</v>
      </c>
      <c r="G287" t="s">
        <v>17</v>
      </c>
      <c r="H287" t="s">
        <v>17</v>
      </c>
      <c r="I287" s="1">
        <v>44653</v>
      </c>
      <c r="J287" t="s">
        <v>17</v>
      </c>
      <c r="K287" t="s">
        <v>75</v>
      </c>
      <c r="L287" t="s">
        <v>46</v>
      </c>
    </row>
    <row r="288" spans="1:12" x14ac:dyDescent="0.25">
      <c r="A288" t="s">
        <v>531</v>
      </c>
      <c r="B288" t="s">
        <v>532</v>
      </c>
      <c r="C288" s="3">
        <v>62583</v>
      </c>
      <c r="D288" t="s">
        <v>15</v>
      </c>
      <c r="E288">
        <v>2022</v>
      </c>
      <c r="F288" t="s">
        <v>16</v>
      </c>
      <c r="G288" t="s">
        <v>17</v>
      </c>
      <c r="H288" t="s">
        <v>17</v>
      </c>
      <c r="I288" s="1">
        <v>44653</v>
      </c>
      <c r="J288" t="s">
        <v>17</v>
      </c>
      <c r="K288" t="s">
        <v>68</v>
      </c>
      <c r="L288" t="s">
        <v>24</v>
      </c>
    </row>
    <row r="289" spans="1:12" hidden="1" x14ac:dyDescent="0.25">
      <c r="A289" t="s">
        <v>533</v>
      </c>
      <c r="B289" t="s">
        <v>534</v>
      </c>
      <c r="C289">
        <v>50291</v>
      </c>
      <c r="D289" t="s">
        <v>27</v>
      </c>
      <c r="E289">
        <v>2022</v>
      </c>
      <c r="F289" t="s">
        <v>16</v>
      </c>
      <c r="G289" t="s">
        <v>17</v>
      </c>
      <c r="H289" t="s">
        <v>17</v>
      </c>
      <c r="I289" s="1">
        <v>44653</v>
      </c>
      <c r="J289" t="s">
        <v>17</v>
      </c>
      <c r="K289" t="s">
        <v>68</v>
      </c>
      <c r="L289" t="s">
        <v>19</v>
      </c>
    </row>
    <row r="290" spans="1:12" x14ac:dyDescent="0.25">
      <c r="A290" t="s">
        <v>535</v>
      </c>
      <c r="B290" t="s">
        <v>154</v>
      </c>
      <c r="C290" s="3">
        <v>50295</v>
      </c>
      <c r="D290" t="s">
        <v>27</v>
      </c>
      <c r="E290">
        <v>2022</v>
      </c>
      <c r="F290" t="s">
        <v>16</v>
      </c>
      <c r="G290" t="s">
        <v>17</v>
      </c>
      <c r="H290" t="s">
        <v>17</v>
      </c>
      <c r="I290" s="1">
        <v>44653</v>
      </c>
      <c r="J290" t="s">
        <v>17</v>
      </c>
      <c r="K290" t="s">
        <v>28</v>
      </c>
      <c r="L290" t="s">
        <v>71</v>
      </c>
    </row>
    <row r="291" spans="1:12" x14ac:dyDescent="0.25">
      <c r="A291" t="s">
        <v>536</v>
      </c>
      <c r="B291" t="s">
        <v>537</v>
      </c>
      <c r="C291" s="3">
        <v>38496</v>
      </c>
      <c r="D291" t="s">
        <v>15</v>
      </c>
      <c r="E291">
        <v>2022</v>
      </c>
      <c r="F291" t="s">
        <v>16</v>
      </c>
      <c r="G291" t="s">
        <v>17</v>
      </c>
      <c r="H291" t="s">
        <v>17</v>
      </c>
      <c r="I291" s="1">
        <v>44653</v>
      </c>
      <c r="J291" t="s">
        <v>17</v>
      </c>
      <c r="K291" t="s">
        <v>23</v>
      </c>
      <c r="L291" t="s">
        <v>31</v>
      </c>
    </row>
    <row r="292" spans="1:12" hidden="1" x14ac:dyDescent="0.25">
      <c r="A292" t="s">
        <v>536</v>
      </c>
      <c r="B292" t="s">
        <v>84</v>
      </c>
      <c r="C292">
        <v>32389</v>
      </c>
      <c r="D292" t="s">
        <v>15</v>
      </c>
      <c r="E292">
        <v>2022</v>
      </c>
      <c r="F292" t="s">
        <v>16</v>
      </c>
      <c r="G292" t="s">
        <v>17</v>
      </c>
      <c r="H292" t="s">
        <v>17</v>
      </c>
      <c r="I292" s="1">
        <v>44653</v>
      </c>
      <c r="J292" t="s">
        <v>17</v>
      </c>
      <c r="K292" t="s">
        <v>28</v>
      </c>
      <c r="L292" t="s">
        <v>19</v>
      </c>
    </row>
    <row r="293" spans="1:12" x14ac:dyDescent="0.25">
      <c r="A293" t="s">
        <v>538</v>
      </c>
      <c r="B293" t="s">
        <v>194</v>
      </c>
      <c r="C293" s="3">
        <v>50453</v>
      </c>
      <c r="D293" t="s">
        <v>27</v>
      </c>
      <c r="E293">
        <v>2022</v>
      </c>
      <c r="F293" t="s">
        <v>16</v>
      </c>
      <c r="G293" t="s">
        <v>17</v>
      </c>
      <c r="H293" t="s">
        <v>17</v>
      </c>
      <c r="I293" s="1">
        <v>44653</v>
      </c>
      <c r="J293" t="s">
        <v>17</v>
      </c>
      <c r="K293" t="s">
        <v>44</v>
      </c>
      <c r="L293" t="s">
        <v>71</v>
      </c>
    </row>
    <row r="294" spans="1:12" hidden="1" x14ac:dyDescent="0.25">
      <c r="A294" t="s">
        <v>539</v>
      </c>
      <c r="B294" t="s">
        <v>145</v>
      </c>
      <c r="C294">
        <v>51834</v>
      </c>
      <c r="D294" t="s">
        <v>15</v>
      </c>
      <c r="E294">
        <v>2022</v>
      </c>
      <c r="F294" t="s">
        <v>16</v>
      </c>
      <c r="G294" t="s">
        <v>17</v>
      </c>
      <c r="H294" t="s">
        <v>17</v>
      </c>
      <c r="I294" s="1">
        <v>44653</v>
      </c>
      <c r="J294" t="s">
        <v>17</v>
      </c>
      <c r="K294" t="s">
        <v>78</v>
      </c>
      <c r="L294" t="s">
        <v>19</v>
      </c>
    </row>
    <row r="295" spans="1:12" x14ac:dyDescent="0.25">
      <c r="A295" t="s">
        <v>540</v>
      </c>
      <c r="B295" t="s">
        <v>541</v>
      </c>
      <c r="C295" s="3">
        <v>10535</v>
      </c>
      <c r="D295" t="s">
        <v>113</v>
      </c>
      <c r="E295">
        <v>2022</v>
      </c>
      <c r="F295" t="s">
        <v>16</v>
      </c>
      <c r="G295" t="s">
        <v>17</v>
      </c>
      <c r="H295" t="s">
        <v>17</v>
      </c>
      <c r="I295" s="1">
        <v>44653</v>
      </c>
      <c r="J295" t="s">
        <v>17</v>
      </c>
      <c r="K295" t="s">
        <v>542</v>
      </c>
      <c r="L295" t="s">
        <v>24</v>
      </c>
    </row>
    <row r="296" spans="1:12" x14ac:dyDescent="0.25">
      <c r="A296" t="s">
        <v>543</v>
      </c>
      <c r="B296" t="s">
        <v>156</v>
      </c>
      <c r="C296" s="3">
        <v>2051</v>
      </c>
      <c r="D296" t="s">
        <v>27</v>
      </c>
      <c r="E296">
        <v>2022</v>
      </c>
      <c r="F296" t="s">
        <v>16</v>
      </c>
      <c r="G296" t="s">
        <v>17</v>
      </c>
      <c r="H296" t="s">
        <v>17</v>
      </c>
      <c r="I296" s="1">
        <v>44653</v>
      </c>
      <c r="J296" t="s">
        <v>17</v>
      </c>
      <c r="K296" t="s">
        <v>51</v>
      </c>
      <c r="L296" t="s">
        <v>24</v>
      </c>
    </row>
    <row r="297" spans="1:12" hidden="1" x14ac:dyDescent="0.25">
      <c r="A297" t="s">
        <v>543</v>
      </c>
      <c r="B297" t="s">
        <v>544</v>
      </c>
      <c r="C297">
        <v>46310</v>
      </c>
      <c r="D297" t="s">
        <v>15</v>
      </c>
      <c r="E297">
        <v>2022</v>
      </c>
      <c r="F297" t="s">
        <v>16</v>
      </c>
      <c r="G297" t="s">
        <v>17</v>
      </c>
      <c r="H297" t="s">
        <v>17</v>
      </c>
      <c r="I297" s="1">
        <v>44653</v>
      </c>
      <c r="J297" t="s">
        <v>17</v>
      </c>
      <c r="K297" t="s">
        <v>176</v>
      </c>
      <c r="L297" t="s">
        <v>19</v>
      </c>
    </row>
    <row r="298" spans="1:12" hidden="1" x14ac:dyDescent="0.25">
      <c r="A298" t="s">
        <v>545</v>
      </c>
      <c r="B298" t="s">
        <v>546</v>
      </c>
      <c r="C298">
        <v>97187</v>
      </c>
      <c r="D298" t="s">
        <v>15</v>
      </c>
      <c r="E298">
        <v>2022</v>
      </c>
      <c r="F298" t="s">
        <v>16</v>
      </c>
      <c r="G298" t="s">
        <v>17</v>
      </c>
      <c r="H298" t="s">
        <v>17</v>
      </c>
      <c r="I298" s="1">
        <v>44653</v>
      </c>
      <c r="J298" t="s">
        <v>17</v>
      </c>
      <c r="K298" t="s">
        <v>54</v>
      </c>
      <c r="L298" t="s">
        <v>19</v>
      </c>
    </row>
    <row r="299" spans="1:12" hidden="1" x14ac:dyDescent="0.25">
      <c r="A299" t="s">
        <v>547</v>
      </c>
      <c r="B299" t="s">
        <v>548</v>
      </c>
      <c r="C299">
        <v>50616</v>
      </c>
      <c r="D299" t="s">
        <v>27</v>
      </c>
      <c r="E299">
        <v>2022</v>
      </c>
      <c r="F299" t="s">
        <v>16</v>
      </c>
      <c r="G299" t="s">
        <v>17</v>
      </c>
      <c r="H299" t="s">
        <v>17</v>
      </c>
      <c r="I299" s="1">
        <v>44653</v>
      </c>
      <c r="J299" t="s">
        <v>17</v>
      </c>
      <c r="K299" t="s">
        <v>28</v>
      </c>
      <c r="L299" t="s">
        <v>19</v>
      </c>
    </row>
    <row r="300" spans="1:12" x14ac:dyDescent="0.25">
      <c r="A300" t="s">
        <v>549</v>
      </c>
      <c r="B300" t="s">
        <v>550</v>
      </c>
      <c r="C300" s="3">
        <v>26880</v>
      </c>
      <c r="D300" t="s">
        <v>27</v>
      </c>
      <c r="E300">
        <v>2022</v>
      </c>
      <c r="F300" t="s">
        <v>16</v>
      </c>
      <c r="G300" t="s">
        <v>17</v>
      </c>
      <c r="H300" t="s">
        <v>17</v>
      </c>
      <c r="I300" s="1">
        <v>44653</v>
      </c>
      <c r="J300" t="s">
        <v>17</v>
      </c>
      <c r="K300" t="s">
        <v>23</v>
      </c>
      <c r="L300" t="s">
        <v>24</v>
      </c>
    </row>
    <row r="301" spans="1:12" x14ac:dyDescent="0.25">
      <c r="A301" t="s">
        <v>551</v>
      </c>
      <c r="B301" t="s">
        <v>127</v>
      </c>
      <c r="C301" s="3">
        <v>10069</v>
      </c>
      <c r="D301" t="s">
        <v>27</v>
      </c>
      <c r="E301">
        <v>2022</v>
      </c>
      <c r="F301" t="s">
        <v>16</v>
      </c>
      <c r="G301" t="s">
        <v>17</v>
      </c>
      <c r="H301" t="s">
        <v>17</v>
      </c>
      <c r="I301" s="1">
        <v>44653</v>
      </c>
      <c r="J301" t="s">
        <v>17</v>
      </c>
      <c r="K301" t="s">
        <v>78</v>
      </c>
      <c r="L301" t="s">
        <v>24</v>
      </c>
    </row>
    <row r="302" spans="1:12" x14ac:dyDescent="0.25">
      <c r="A302" t="s">
        <v>552</v>
      </c>
      <c r="B302" t="s">
        <v>74</v>
      </c>
      <c r="C302" s="3">
        <v>8658</v>
      </c>
      <c r="D302" t="s">
        <v>113</v>
      </c>
      <c r="E302">
        <v>2022</v>
      </c>
      <c r="F302" t="s">
        <v>16</v>
      </c>
      <c r="G302" t="s">
        <v>17</v>
      </c>
      <c r="H302" t="s">
        <v>17</v>
      </c>
      <c r="I302" s="1">
        <v>44653</v>
      </c>
      <c r="J302" t="s">
        <v>17</v>
      </c>
      <c r="K302" t="s">
        <v>227</v>
      </c>
      <c r="L302" t="s">
        <v>24</v>
      </c>
    </row>
    <row r="303" spans="1:12" hidden="1" x14ac:dyDescent="0.25">
      <c r="A303" t="s">
        <v>553</v>
      </c>
      <c r="B303" t="s">
        <v>125</v>
      </c>
      <c r="C303">
        <v>51199</v>
      </c>
      <c r="D303" t="s">
        <v>27</v>
      </c>
      <c r="E303">
        <v>2022</v>
      </c>
      <c r="F303" t="s">
        <v>16</v>
      </c>
      <c r="G303" t="s">
        <v>17</v>
      </c>
      <c r="H303" t="s">
        <v>17</v>
      </c>
      <c r="I303" s="1">
        <v>44653</v>
      </c>
      <c r="J303" t="s">
        <v>17</v>
      </c>
      <c r="K303" t="s">
        <v>173</v>
      </c>
      <c r="L303" t="s">
        <v>19</v>
      </c>
    </row>
    <row r="304" spans="1:12" x14ac:dyDescent="0.25">
      <c r="A304" t="s">
        <v>554</v>
      </c>
      <c r="B304" t="s">
        <v>330</v>
      </c>
      <c r="C304" s="3">
        <v>51307</v>
      </c>
      <c r="D304" t="s">
        <v>27</v>
      </c>
      <c r="E304">
        <v>2022</v>
      </c>
      <c r="F304" t="s">
        <v>16</v>
      </c>
      <c r="G304" t="s">
        <v>17</v>
      </c>
      <c r="H304" t="s">
        <v>17</v>
      </c>
      <c r="I304" s="1">
        <v>44653</v>
      </c>
      <c r="J304" t="s">
        <v>17</v>
      </c>
      <c r="K304" t="s">
        <v>28</v>
      </c>
      <c r="L304" t="s">
        <v>71</v>
      </c>
    </row>
    <row r="305" spans="1:12" x14ac:dyDescent="0.25">
      <c r="A305" t="s">
        <v>555</v>
      </c>
      <c r="B305" t="s">
        <v>556</v>
      </c>
      <c r="C305" s="3">
        <v>7191</v>
      </c>
      <c r="D305" t="s">
        <v>113</v>
      </c>
      <c r="E305">
        <v>2022</v>
      </c>
      <c r="F305" t="s">
        <v>16</v>
      </c>
      <c r="G305" t="s">
        <v>17</v>
      </c>
      <c r="H305" t="s">
        <v>17</v>
      </c>
      <c r="I305" s="1">
        <v>44653</v>
      </c>
      <c r="J305" t="s">
        <v>17</v>
      </c>
      <c r="K305" t="s">
        <v>259</v>
      </c>
      <c r="L305" t="s">
        <v>71</v>
      </c>
    </row>
    <row r="306" spans="1:12" hidden="1" x14ac:dyDescent="0.25">
      <c r="A306" t="s">
        <v>557</v>
      </c>
      <c r="B306" t="s">
        <v>26</v>
      </c>
      <c r="C306">
        <v>50191</v>
      </c>
      <c r="D306" t="s">
        <v>15</v>
      </c>
      <c r="E306">
        <v>2022</v>
      </c>
      <c r="F306" t="s">
        <v>16</v>
      </c>
      <c r="G306" t="s">
        <v>17</v>
      </c>
      <c r="H306" t="s">
        <v>17</v>
      </c>
      <c r="I306" s="1">
        <v>44653</v>
      </c>
      <c r="J306" t="s">
        <v>17</v>
      </c>
      <c r="K306" t="s">
        <v>157</v>
      </c>
      <c r="L306" t="s">
        <v>19</v>
      </c>
    </row>
    <row r="307" spans="1:12" hidden="1" x14ac:dyDescent="0.25">
      <c r="A307" t="s">
        <v>558</v>
      </c>
      <c r="B307" t="s">
        <v>559</v>
      </c>
      <c r="C307">
        <v>54143</v>
      </c>
      <c r="D307" t="s">
        <v>15</v>
      </c>
      <c r="E307">
        <v>2022</v>
      </c>
      <c r="F307" t="s">
        <v>16</v>
      </c>
      <c r="G307" t="s">
        <v>17</v>
      </c>
      <c r="H307" t="s">
        <v>17</v>
      </c>
      <c r="I307" s="1">
        <v>44653</v>
      </c>
      <c r="J307" t="s">
        <v>17</v>
      </c>
      <c r="K307" t="s">
        <v>34</v>
      </c>
      <c r="L307" t="s">
        <v>19</v>
      </c>
    </row>
    <row r="308" spans="1:12" x14ac:dyDescent="0.25">
      <c r="A308" t="s">
        <v>560</v>
      </c>
      <c r="B308" t="s">
        <v>103</v>
      </c>
      <c r="C308" s="3">
        <v>4387</v>
      </c>
      <c r="D308" t="s">
        <v>27</v>
      </c>
      <c r="E308">
        <v>2022</v>
      </c>
      <c r="F308" t="s">
        <v>16</v>
      </c>
      <c r="G308" t="s">
        <v>17</v>
      </c>
      <c r="H308" t="s">
        <v>17</v>
      </c>
      <c r="I308" s="1">
        <v>44653</v>
      </c>
      <c r="J308" t="s">
        <v>17</v>
      </c>
      <c r="K308" t="s">
        <v>561</v>
      </c>
      <c r="L308" t="s">
        <v>24</v>
      </c>
    </row>
    <row r="309" spans="1:12" x14ac:dyDescent="0.25">
      <c r="A309" t="s">
        <v>560</v>
      </c>
      <c r="B309" t="s">
        <v>196</v>
      </c>
      <c r="C309" s="3">
        <v>25248</v>
      </c>
      <c r="D309" t="s">
        <v>15</v>
      </c>
      <c r="E309">
        <v>2022</v>
      </c>
      <c r="F309" t="s">
        <v>16</v>
      </c>
      <c r="G309" t="s">
        <v>17</v>
      </c>
      <c r="H309" t="s">
        <v>17</v>
      </c>
      <c r="I309" s="1">
        <v>44653</v>
      </c>
      <c r="J309" t="s">
        <v>17</v>
      </c>
      <c r="K309" t="s">
        <v>173</v>
      </c>
      <c r="L309" t="s">
        <v>46</v>
      </c>
    </row>
    <row r="310" spans="1:12" x14ac:dyDescent="0.25">
      <c r="A310" t="s">
        <v>562</v>
      </c>
      <c r="B310" t="s">
        <v>563</v>
      </c>
      <c r="C310" s="3">
        <v>4171</v>
      </c>
      <c r="D310" t="s">
        <v>27</v>
      </c>
      <c r="E310">
        <v>2022</v>
      </c>
      <c r="F310" t="s">
        <v>16</v>
      </c>
      <c r="G310" t="s">
        <v>17</v>
      </c>
      <c r="H310" t="s">
        <v>17</v>
      </c>
      <c r="I310" s="1">
        <v>44653</v>
      </c>
      <c r="J310" t="s">
        <v>17</v>
      </c>
      <c r="K310" t="s">
        <v>278</v>
      </c>
      <c r="L310" t="s">
        <v>71</v>
      </c>
    </row>
    <row r="311" spans="1:12" x14ac:dyDescent="0.25">
      <c r="A311" t="s">
        <v>564</v>
      </c>
      <c r="B311" t="s">
        <v>14</v>
      </c>
      <c r="C311" s="3">
        <v>42643</v>
      </c>
      <c r="D311" t="s">
        <v>15</v>
      </c>
      <c r="E311">
        <v>2022</v>
      </c>
      <c r="F311" t="s">
        <v>16</v>
      </c>
      <c r="G311" t="s">
        <v>17</v>
      </c>
      <c r="H311" t="s">
        <v>17</v>
      </c>
      <c r="I311" s="1">
        <v>44653</v>
      </c>
      <c r="J311" t="s">
        <v>17</v>
      </c>
      <c r="K311" t="s">
        <v>150</v>
      </c>
      <c r="L311" t="s">
        <v>24</v>
      </c>
    </row>
    <row r="312" spans="1:12" x14ac:dyDescent="0.25">
      <c r="A312" t="s">
        <v>564</v>
      </c>
      <c r="B312" t="s">
        <v>397</v>
      </c>
      <c r="C312" s="3">
        <v>39519</v>
      </c>
      <c r="D312" t="s">
        <v>15</v>
      </c>
      <c r="E312">
        <v>2022</v>
      </c>
      <c r="F312" t="s">
        <v>16</v>
      </c>
      <c r="G312" t="s">
        <v>17</v>
      </c>
      <c r="H312" t="s">
        <v>17</v>
      </c>
      <c r="I312" s="1">
        <v>44653</v>
      </c>
      <c r="J312" t="s">
        <v>17</v>
      </c>
      <c r="K312" t="s">
        <v>123</v>
      </c>
      <c r="L312" t="s">
        <v>31</v>
      </c>
    </row>
    <row r="313" spans="1:12" x14ac:dyDescent="0.25">
      <c r="A313" t="s">
        <v>565</v>
      </c>
      <c r="B313" t="s">
        <v>566</v>
      </c>
      <c r="C313" s="3">
        <v>42529</v>
      </c>
      <c r="D313" t="s">
        <v>15</v>
      </c>
      <c r="E313">
        <v>2022</v>
      </c>
      <c r="F313" t="s">
        <v>16</v>
      </c>
      <c r="G313" t="s">
        <v>17</v>
      </c>
      <c r="H313" t="s">
        <v>17</v>
      </c>
      <c r="I313" s="1">
        <v>44653</v>
      </c>
      <c r="J313" t="s">
        <v>17</v>
      </c>
      <c r="K313" t="s">
        <v>227</v>
      </c>
      <c r="L313" t="s">
        <v>24</v>
      </c>
    </row>
    <row r="314" spans="1:12" x14ac:dyDescent="0.25">
      <c r="A314" t="s">
        <v>567</v>
      </c>
      <c r="B314" t="s">
        <v>568</v>
      </c>
      <c r="C314" s="3">
        <v>52161</v>
      </c>
      <c r="D314" t="s">
        <v>27</v>
      </c>
      <c r="E314">
        <v>2022</v>
      </c>
      <c r="F314" t="s">
        <v>16</v>
      </c>
      <c r="G314" t="s">
        <v>17</v>
      </c>
      <c r="H314" t="s">
        <v>17</v>
      </c>
      <c r="I314" s="1">
        <v>44653</v>
      </c>
      <c r="J314" t="s">
        <v>17</v>
      </c>
      <c r="K314" t="s">
        <v>96</v>
      </c>
      <c r="L314" t="s">
        <v>24</v>
      </c>
    </row>
    <row r="315" spans="1:12" x14ac:dyDescent="0.25">
      <c r="A315" t="s">
        <v>569</v>
      </c>
      <c r="B315" t="s">
        <v>106</v>
      </c>
      <c r="C315" s="3">
        <v>47163</v>
      </c>
      <c r="D315" t="s">
        <v>15</v>
      </c>
      <c r="E315">
        <v>2022</v>
      </c>
      <c r="F315" t="s">
        <v>16</v>
      </c>
      <c r="G315" t="s">
        <v>17</v>
      </c>
      <c r="H315" t="s">
        <v>17</v>
      </c>
      <c r="I315" s="1">
        <v>44653</v>
      </c>
      <c r="J315" t="s">
        <v>17</v>
      </c>
      <c r="K315" t="s">
        <v>37</v>
      </c>
      <c r="L315" t="s">
        <v>24</v>
      </c>
    </row>
    <row r="316" spans="1:12" x14ac:dyDescent="0.25">
      <c r="A316" t="s">
        <v>570</v>
      </c>
      <c r="B316" t="s">
        <v>571</v>
      </c>
      <c r="C316" s="3">
        <v>22421</v>
      </c>
      <c r="D316" t="s">
        <v>113</v>
      </c>
      <c r="E316">
        <v>2022</v>
      </c>
      <c r="F316" t="s">
        <v>16</v>
      </c>
      <c r="G316" t="s">
        <v>17</v>
      </c>
      <c r="H316" t="s">
        <v>17</v>
      </c>
      <c r="I316" s="1">
        <v>44653</v>
      </c>
      <c r="J316" t="s">
        <v>17</v>
      </c>
      <c r="K316" t="s">
        <v>85</v>
      </c>
      <c r="L316" t="s">
        <v>572</v>
      </c>
    </row>
    <row r="317" spans="1:12" x14ac:dyDescent="0.25">
      <c r="A317" t="s">
        <v>573</v>
      </c>
      <c r="B317" t="s">
        <v>574</v>
      </c>
      <c r="C317" s="3">
        <v>43271</v>
      </c>
      <c r="D317" t="s">
        <v>15</v>
      </c>
      <c r="E317">
        <v>2022</v>
      </c>
      <c r="F317" t="s">
        <v>16</v>
      </c>
      <c r="G317" t="s">
        <v>17</v>
      </c>
      <c r="H317" t="s">
        <v>17</v>
      </c>
      <c r="I317" s="1">
        <v>44653</v>
      </c>
      <c r="J317" t="s">
        <v>17</v>
      </c>
      <c r="K317" t="s">
        <v>575</v>
      </c>
      <c r="L317" t="s">
        <v>31</v>
      </c>
    </row>
    <row r="318" spans="1:12" x14ac:dyDescent="0.25">
      <c r="A318" t="s">
        <v>576</v>
      </c>
      <c r="B318" t="s">
        <v>41</v>
      </c>
      <c r="C318" s="3">
        <v>63236</v>
      </c>
      <c r="D318" t="s">
        <v>15</v>
      </c>
      <c r="E318">
        <v>2022</v>
      </c>
      <c r="F318" t="s">
        <v>16</v>
      </c>
      <c r="G318" t="s">
        <v>17</v>
      </c>
      <c r="H318" t="s">
        <v>17</v>
      </c>
      <c r="I318" s="1">
        <v>44653</v>
      </c>
      <c r="J318" t="s">
        <v>17</v>
      </c>
      <c r="K318" t="s">
        <v>63</v>
      </c>
      <c r="L318" t="s">
        <v>71</v>
      </c>
    </row>
    <row r="319" spans="1:12" x14ac:dyDescent="0.25">
      <c r="A319" t="s">
        <v>577</v>
      </c>
      <c r="B319" t="s">
        <v>578</v>
      </c>
      <c r="C319" s="3">
        <v>33853</v>
      </c>
      <c r="D319" t="s">
        <v>15</v>
      </c>
      <c r="E319">
        <v>2022</v>
      </c>
      <c r="F319" t="s">
        <v>16</v>
      </c>
      <c r="G319" t="s">
        <v>17</v>
      </c>
      <c r="H319" t="s">
        <v>17</v>
      </c>
      <c r="I319" s="1">
        <v>44653</v>
      </c>
      <c r="J319" t="s">
        <v>17</v>
      </c>
      <c r="K319" t="s">
        <v>181</v>
      </c>
      <c r="L319" t="s">
        <v>71</v>
      </c>
    </row>
    <row r="320" spans="1:12" x14ac:dyDescent="0.25">
      <c r="A320" t="s">
        <v>579</v>
      </c>
      <c r="B320" t="s">
        <v>424</v>
      </c>
      <c r="C320" s="3">
        <v>2324</v>
      </c>
      <c r="D320" t="s">
        <v>27</v>
      </c>
      <c r="E320">
        <v>2022</v>
      </c>
      <c r="F320" t="s">
        <v>16</v>
      </c>
      <c r="G320" t="s">
        <v>17</v>
      </c>
      <c r="H320" t="s">
        <v>17</v>
      </c>
      <c r="I320" s="1">
        <v>44653</v>
      </c>
      <c r="J320" t="s">
        <v>17</v>
      </c>
      <c r="K320" t="s">
        <v>150</v>
      </c>
      <c r="L320" t="s">
        <v>71</v>
      </c>
    </row>
    <row r="321" spans="1:12" x14ac:dyDescent="0.25">
      <c r="A321" t="s">
        <v>580</v>
      </c>
      <c r="B321" t="s">
        <v>581</v>
      </c>
      <c r="C321" s="3">
        <v>49744</v>
      </c>
      <c r="D321" t="s">
        <v>15</v>
      </c>
      <c r="E321">
        <v>2022</v>
      </c>
      <c r="F321" t="s">
        <v>16</v>
      </c>
      <c r="G321" t="s">
        <v>17</v>
      </c>
      <c r="H321" t="s">
        <v>17</v>
      </c>
      <c r="I321" s="1">
        <v>44653</v>
      </c>
      <c r="J321" t="s">
        <v>17</v>
      </c>
      <c r="K321" t="s">
        <v>68</v>
      </c>
      <c r="L321" t="s">
        <v>24</v>
      </c>
    </row>
    <row r="322" spans="1:12" x14ac:dyDescent="0.25">
      <c r="A322" t="s">
        <v>582</v>
      </c>
      <c r="B322" t="s">
        <v>583</v>
      </c>
      <c r="C322" s="3">
        <v>53360</v>
      </c>
      <c r="D322" t="s">
        <v>27</v>
      </c>
      <c r="E322">
        <v>2022</v>
      </c>
      <c r="F322" t="s">
        <v>16</v>
      </c>
      <c r="G322" t="s">
        <v>17</v>
      </c>
      <c r="H322" t="s">
        <v>17</v>
      </c>
      <c r="I322" s="1">
        <v>44653</v>
      </c>
      <c r="J322" t="s">
        <v>17</v>
      </c>
      <c r="K322" t="s">
        <v>181</v>
      </c>
      <c r="L322" t="s">
        <v>71</v>
      </c>
    </row>
    <row r="323" spans="1:12" x14ac:dyDescent="0.25">
      <c r="A323" t="s">
        <v>584</v>
      </c>
      <c r="B323" t="s">
        <v>65</v>
      </c>
      <c r="C323" s="3">
        <v>43018</v>
      </c>
      <c r="D323" t="s">
        <v>15</v>
      </c>
      <c r="E323">
        <v>2022</v>
      </c>
      <c r="F323" t="s">
        <v>16</v>
      </c>
      <c r="G323" t="s">
        <v>17</v>
      </c>
      <c r="H323" t="s">
        <v>17</v>
      </c>
      <c r="I323" s="1">
        <v>44653</v>
      </c>
      <c r="J323" t="s">
        <v>17</v>
      </c>
      <c r="K323" t="s">
        <v>23</v>
      </c>
      <c r="L323" t="s">
        <v>24</v>
      </c>
    </row>
    <row r="324" spans="1:12" x14ac:dyDescent="0.25">
      <c r="A324" t="s">
        <v>585</v>
      </c>
      <c r="B324" t="s">
        <v>103</v>
      </c>
      <c r="C324" s="3">
        <v>53370</v>
      </c>
      <c r="D324" t="s">
        <v>27</v>
      </c>
      <c r="E324">
        <v>2022</v>
      </c>
      <c r="F324" t="s">
        <v>16</v>
      </c>
      <c r="G324" t="s">
        <v>17</v>
      </c>
      <c r="H324" t="s">
        <v>17</v>
      </c>
      <c r="I324" s="1">
        <v>44653</v>
      </c>
      <c r="J324" t="s">
        <v>17</v>
      </c>
      <c r="K324" t="s">
        <v>23</v>
      </c>
      <c r="L324" t="s">
        <v>24</v>
      </c>
    </row>
    <row r="325" spans="1:12" x14ac:dyDescent="0.25">
      <c r="A325" t="s">
        <v>586</v>
      </c>
      <c r="B325" t="s">
        <v>587</v>
      </c>
      <c r="C325" s="3">
        <v>53489</v>
      </c>
      <c r="D325" t="s">
        <v>27</v>
      </c>
      <c r="E325">
        <v>2022</v>
      </c>
      <c r="F325" t="s">
        <v>16</v>
      </c>
      <c r="G325" t="s">
        <v>17</v>
      </c>
      <c r="H325" t="s">
        <v>17</v>
      </c>
      <c r="I325" s="1">
        <v>44653</v>
      </c>
      <c r="J325" t="s">
        <v>17</v>
      </c>
      <c r="K325" t="s">
        <v>137</v>
      </c>
      <c r="L325" t="s">
        <v>71</v>
      </c>
    </row>
    <row r="326" spans="1:12" x14ac:dyDescent="0.25">
      <c r="A326" t="s">
        <v>588</v>
      </c>
      <c r="B326" t="s">
        <v>589</v>
      </c>
      <c r="C326" s="3">
        <v>42524</v>
      </c>
      <c r="D326" t="s">
        <v>15</v>
      </c>
      <c r="E326">
        <v>2022</v>
      </c>
      <c r="F326" t="s">
        <v>16</v>
      </c>
      <c r="G326" t="s">
        <v>17</v>
      </c>
      <c r="H326" t="s">
        <v>17</v>
      </c>
      <c r="I326" s="1">
        <v>44653</v>
      </c>
      <c r="J326" t="s">
        <v>17</v>
      </c>
      <c r="K326" t="s">
        <v>28</v>
      </c>
      <c r="L326" t="s">
        <v>71</v>
      </c>
    </row>
    <row r="327" spans="1:12" hidden="1" x14ac:dyDescent="0.25">
      <c r="A327" t="s">
        <v>588</v>
      </c>
      <c r="B327" t="s">
        <v>590</v>
      </c>
      <c r="C327">
        <v>45529</v>
      </c>
      <c r="D327" t="s">
        <v>15</v>
      </c>
      <c r="E327">
        <v>2022</v>
      </c>
      <c r="F327" t="s">
        <v>16</v>
      </c>
      <c r="G327" t="s">
        <v>17</v>
      </c>
      <c r="H327" t="s">
        <v>17</v>
      </c>
      <c r="I327" s="1">
        <v>44653</v>
      </c>
      <c r="J327" t="s">
        <v>17</v>
      </c>
      <c r="K327" t="s">
        <v>51</v>
      </c>
      <c r="L327" t="s">
        <v>19</v>
      </c>
    </row>
    <row r="328" spans="1:12" x14ac:dyDescent="0.25">
      <c r="A328" t="s">
        <v>207</v>
      </c>
      <c r="B328" t="s">
        <v>591</v>
      </c>
      <c r="C328" s="3">
        <v>38980</v>
      </c>
      <c r="D328" t="s">
        <v>15</v>
      </c>
      <c r="E328">
        <v>2022</v>
      </c>
      <c r="F328" t="s">
        <v>16</v>
      </c>
      <c r="G328" t="s">
        <v>17</v>
      </c>
      <c r="H328" t="s">
        <v>17</v>
      </c>
      <c r="I328" s="1">
        <v>44653</v>
      </c>
      <c r="J328" t="s">
        <v>17</v>
      </c>
      <c r="K328" t="s">
        <v>176</v>
      </c>
      <c r="L328" t="s">
        <v>31</v>
      </c>
    </row>
    <row r="329" spans="1:12" hidden="1" x14ac:dyDescent="0.25">
      <c r="A329" t="s">
        <v>592</v>
      </c>
      <c r="B329" t="s">
        <v>409</v>
      </c>
      <c r="C329">
        <v>47177</v>
      </c>
      <c r="D329" t="s">
        <v>15</v>
      </c>
      <c r="E329">
        <v>2022</v>
      </c>
      <c r="F329" t="s">
        <v>16</v>
      </c>
      <c r="G329" t="s">
        <v>17</v>
      </c>
      <c r="H329" t="s">
        <v>17</v>
      </c>
      <c r="I329" s="1">
        <v>44653</v>
      </c>
      <c r="J329" t="s">
        <v>17</v>
      </c>
      <c r="K329" t="s">
        <v>63</v>
      </c>
      <c r="L329" t="s">
        <v>19</v>
      </c>
    </row>
    <row r="330" spans="1:12" x14ac:dyDescent="0.25">
      <c r="A330" t="s">
        <v>592</v>
      </c>
      <c r="B330" t="s">
        <v>194</v>
      </c>
      <c r="C330" s="3">
        <v>36157</v>
      </c>
      <c r="D330" t="s">
        <v>15</v>
      </c>
      <c r="E330">
        <v>2022</v>
      </c>
      <c r="F330" t="s">
        <v>16</v>
      </c>
      <c r="G330" t="s">
        <v>17</v>
      </c>
      <c r="H330" t="s">
        <v>17</v>
      </c>
      <c r="I330" s="1">
        <v>44653</v>
      </c>
      <c r="J330" t="s">
        <v>17</v>
      </c>
      <c r="K330" t="s">
        <v>28</v>
      </c>
      <c r="L330" t="s">
        <v>31</v>
      </c>
    </row>
    <row r="331" spans="1:12" x14ac:dyDescent="0.25">
      <c r="A331" t="s">
        <v>592</v>
      </c>
      <c r="B331" t="s">
        <v>593</v>
      </c>
      <c r="C331" s="3">
        <v>46385</v>
      </c>
      <c r="D331" t="s">
        <v>15</v>
      </c>
      <c r="E331">
        <v>2022</v>
      </c>
      <c r="F331" t="s">
        <v>16</v>
      </c>
      <c r="G331" t="s">
        <v>17</v>
      </c>
      <c r="H331" t="s">
        <v>17</v>
      </c>
      <c r="I331" s="1">
        <v>44653</v>
      </c>
      <c r="J331" t="s">
        <v>17</v>
      </c>
      <c r="K331" t="s">
        <v>23</v>
      </c>
      <c r="L331" t="s">
        <v>31</v>
      </c>
    </row>
    <row r="332" spans="1:12" hidden="1" x14ac:dyDescent="0.25">
      <c r="A332" t="s">
        <v>594</v>
      </c>
      <c r="B332" t="s">
        <v>145</v>
      </c>
      <c r="C332">
        <v>49456</v>
      </c>
      <c r="D332" t="s">
        <v>15</v>
      </c>
      <c r="E332">
        <v>2022</v>
      </c>
      <c r="F332" t="s">
        <v>16</v>
      </c>
      <c r="G332" t="s">
        <v>17</v>
      </c>
      <c r="H332" t="s">
        <v>17</v>
      </c>
      <c r="I332" s="1">
        <v>44653</v>
      </c>
      <c r="J332" t="s">
        <v>17</v>
      </c>
      <c r="K332" t="s">
        <v>286</v>
      </c>
      <c r="L332" t="s">
        <v>19</v>
      </c>
    </row>
    <row r="333" spans="1:12" x14ac:dyDescent="0.25">
      <c r="A333" t="s">
        <v>595</v>
      </c>
      <c r="B333" t="s">
        <v>74</v>
      </c>
      <c r="C333" s="3">
        <v>54544</v>
      </c>
      <c r="D333" t="s">
        <v>27</v>
      </c>
      <c r="E333">
        <v>2022</v>
      </c>
      <c r="F333" t="s">
        <v>16</v>
      </c>
      <c r="G333" t="s">
        <v>17</v>
      </c>
      <c r="H333" t="s">
        <v>17</v>
      </c>
      <c r="I333" s="1">
        <v>44653</v>
      </c>
      <c r="J333" t="s">
        <v>17</v>
      </c>
      <c r="K333" t="s">
        <v>63</v>
      </c>
      <c r="L333" t="s">
        <v>46</v>
      </c>
    </row>
    <row r="334" spans="1:12" hidden="1" x14ac:dyDescent="0.25">
      <c r="A334" t="s">
        <v>596</v>
      </c>
      <c r="B334" t="s">
        <v>489</v>
      </c>
      <c r="C334">
        <v>46364</v>
      </c>
      <c r="D334" t="s">
        <v>15</v>
      </c>
      <c r="E334">
        <v>2022</v>
      </c>
      <c r="F334" t="s">
        <v>16</v>
      </c>
      <c r="G334" t="s">
        <v>17</v>
      </c>
      <c r="H334" t="s">
        <v>17</v>
      </c>
      <c r="I334" s="1">
        <v>44653</v>
      </c>
      <c r="J334" t="s">
        <v>17</v>
      </c>
      <c r="K334" t="s">
        <v>18</v>
      </c>
      <c r="L334" t="s">
        <v>19</v>
      </c>
    </row>
    <row r="335" spans="1:12" x14ac:dyDescent="0.25">
      <c r="A335" t="s">
        <v>597</v>
      </c>
      <c r="B335" t="s">
        <v>88</v>
      </c>
      <c r="C335" s="3">
        <v>55121</v>
      </c>
      <c r="D335" t="s">
        <v>27</v>
      </c>
      <c r="E335">
        <v>2022</v>
      </c>
      <c r="F335" t="s">
        <v>16</v>
      </c>
      <c r="G335" t="s">
        <v>17</v>
      </c>
      <c r="H335" t="s">
        <v>17</v>
      </c>
      <c r="I335" s="1">
        <v>44653</v>
      </c>
      <c r="J335" t="s">
        <v>17</v>
      </c>
      <c r="K335" t="s">
        <v>28</v>
      </c>
      <c r="L335" t="s">
        <v>24</v>
      </c>
    </row>
    <row r="336" spans="1:12" x14ac:dyDescent="0.25">
      <c r="A336" t="s">
        <v>598</v>
      </c>
      <c r="B336" t="s">
        <v>599</v>
      </c>
      <c r="C336" s="3">
        <v>65613</v>
      </c>
      <c r="D336" t="s">
        <v>15</v>
      </c>
      <c r="E336">
        <v>2022</v>
      </c>
      <c r="F336" t="s">
        <v>16</v>
      </c>
      <c r="G336" t="s">
        <v>17</v>
      </c>
      <c r="H336" t="s">
        <v>17</v>
      </c>
      <c r="I336" s="1">
        <v>44653</v>
      </c>
      <c r="J336" t="s">
        <v>17</v>
      </c>
      <c r="K336" t="s">
        <v>78</v>
      </c>
      <c r="L336" t="s">
        <v>24</v>
      </c>
    </row>
    <row r="337" spans="1:12" hidden="1" x14ac:dyDescent="0.25">
      <c r="A337" t="s">
        <v>600</v>
      </c>
      <c r="B337" t="s">
        <v>395</v>
      </c>
      <c r="C337">
        <v>59305</v>
      </c>
      <c r="D337" t="s">
        <v>27</v>
      </c>
      <c r="E337">
        <v>2022</v>
      </c>
      <c r="F337" t="s">
        <v>16</v>
      </c>
      <c r="G337" t="s">
        <v>17</v>
      </c>
      <c r="H337" t="s">
        <v>17</v>
      </c>
      <c r="I337" s="1">
        <v>44653</v>
      </c>
      <c r="J337" t="s">
        <v>17</v>
      </c>
      <c r="K337" t="s">
        <v>181</v>
      </c>
      <c r="L337" t="s">
        <v>19</v>
      </c>
    </row>
    <row r="338" spans="1:12" x14ac:dyDescent="0.25">
      <c r="A338" t="s">
        <v>601</v>
      </c>
      <c r="B338" t="s">
        <v>602</v>
      </c>
      <c r="C338" s="3">
        <v>23937</v>
      </c>
      <c r="D338" t="s">
        <v>27</v>
      </c>
      <c r="E338">
        <v>2022</v>
      </c>
      <c r="F338" t="s">
        <v>16</v>
      </c>
      <c r="G338" t="s">
        <v>17</v>
      </c>
      <c r="H338" t="s">
        <v>17</v>
      </c>
      <c r="I338" s="1">
        <v>44653</v>
      </c>
      <c r="J338" t="s">
        <v>17</v>
      </c>
      <c r="K338" t="s">
        <v>220</v>
      </c>
      <c r="L338" t="s">
        <v>24</v>
      </c>
    </row>
    <row r="339" spans="1:12" hidden="1" x14ac:dyDescent="0.25">
      <c r="A339" t="s">
        <v>603</v>
      </c>
      <c r="B339" t="s">
        <v>519</v>
      </c>
      <c r="C339">
        <v>58929</v>
      </c>
      <c r="D339" t="s">
        <v>15</v>
      </c>
      <c r="E339">
        <v>2022</v>
      </c>
      <c r="F339" t="s">
        <v>16</v>
      </c>
      <c r="G339" t="s">
        <v>17</v>
      </c>
      <c r="H339" t="s">
        <v>17</v>
      </c>
      <c r="I339" s="1">
        <v>44653</v>
      </c>
      <c r="J339" t="s">
        <v>17</v>
      </c>
      <c r="K339" t="s">
        <v>181</v>
      </c>
      <c r="L339" t="s">
        <v>19</v>
      </c>
    </row>
    <row r="340" spans="1:12" hidden="1" x14ac:dyDescent="0.25">
      <c r="A340" t="s">
        <v>604</v>
      </c>
      <c r="B340" t="s">
        <v>306</v>
      </c>
      <c r="C340">
        <v>2984</v>
      </c>
      <c r="D340" t="s">
        <v>27</v>
      </c>
      <c r="E340">
        <v>2022</v>
      </c>
      <c r="F340" t="s">
        <v>16</v>
      </c>
      <c r="G340" t="s">
        <v>17</v>
      </c>
      <c r="H340" t="s">
        <v>17</v>
      </c>
      <c r="I340" s="1">
        <v>44653</v>
      </c>
      <c r="J340" t="s">
        <v>17</v>
      </c>
      <c r="K340" t="s">
        <v>28</v>
      </c>
      <c r="L340" t="s">
        <v>19</v>
      </c>
    </row>
    <row r="341" spans="1:12" x14ac:dyDescent="0.25">
      <c r="A341" t="s">
        <v>605</v>
      </c>
      <c r="B341" t="s">
        <v>53</v>
      </c>
      <c r="C341" s="3">
        <v>54995</v>
      </c>
      <c r="D341" t="s">
        <v>27</v>
      </c>
      <c r="E341">
        <v>2022</v>
      </c>
      <c r="F341" t="s">
        <v>16</v>
      </c>
      <c r="G341" t="s">
        <v>17</v>
      </c>
      <c r="H341" t="s">
        <v>17</v>
      </c>
      <c r="I341" s="1">
        <v>44653</v>
      </c>
      <c r="J341" t="s">
        <v>17</v>
      </c>
      <c r="K341" t="s">
        <v>23</v>
      </c>
      <c r="L341" t="s">
        <v>71</v>
      </c>
    </row>
    <row r="342" spans="1:12" x14ac:dyDescent="0.25">
      <c r="A342" t="s">
        <v>606</v>
      </c>
      <c r="B342" t="s">
        <v>607</v>
      </c>
      <c r="C342" s="3">
        <v>48278</v>
      </c>
      <c r="D342" t="s">
        <v>15</v>
      </c>
      <c r="E342">
        <v>2022</v>
      </c>
      <c r="F342" t="s">
        <v>16</v>
      </c>
      <c r="G342" t="s">
        <v>17</v>
      </c>
      <c r="H342" t="s">
        <v>17</v>
      </c>
      <c r="I342" s="1">
        <v>44653</v>
      </c>
      <c r="J342" t="s">
        <v>17</v>
      </c>
      <c r="K342" t="s">
        <v>28</v>
      </c>
      <c r="L342" t="s">
        <v>31</v>
      </c>
    </row>
    <row r="343" spans="1:12" hidden="1" x14ac:dyDescent="0.25">
      <c r="A343" t="s">
        <v>608</v>
      </c>
      <c r="B343" t="s">
        <v>609</v>
      </c>
      <c r="C343">
        <v>36854</v>
      </c>
      <c r="D343" t="s">
        <v>15</v>
      </c>
      <c r="E343">
        <v>2022</v>
      </c>
      <c r="F343" t="s">
        <v>16</v>
      </c>
      <c r="G343" t="s">
        <v>17</v>
      </c>
      <c r="H343" t="s">
        <v>17</v>
      </c>
      <c r="I343" s="1">
        <v>44653</v>
      </c>
      <c r="J343" t="s">
        <v>17</v>
      </c>
      <c r="K343" t="s">
        <v>18</v>
      </c>
      <c r="L343" t="s">
        <v>19</v>
      </c>
    </row>
    <row r="344" spans="1:12" hidden="1" x14ac:dyDescent="0.25">
      <c r="A344" t="s">
        <v>610</v>
      </c>
      <c r="B344" t="s">
        <v>432</v>
      </c>
      <c r="C344">
        <v>52036</v>
      </c>
      <c r="D344" t="s">
        <v>15</v>
      </c>
      <c r="E344">
        <v>2022</v>
      </c>
      <c r="F344" t="s">
        <v>16</v>
      </c>
      <c r="G344" t="s">
        <v>17</v>
      </c>
      <c r="H344" t="s">
        <v>17</v>
      </c>
      <c r="I344" s="1">
        <v>44653</v>
      </c>
      <c r="J344" t="s">
        <v>17</v>
      </c>
      <c r="K344" t="s">
        <v>259</v>
      </c>
      <c r="L344" t="s">
        <v>19</v>
      </c>
    </row>
    <row r="345" spans="1:12" x14ac:dyDescent="0.25">
      <c r="A345" t="s">
        <v>611</v>
      </c>
      <c r="B345" t="s">
        <v>519</v>
      </c>
      <c r="C345" s="3">
        <v>48332</v>
      </c>
      <c r="D345" t="s">
        <v>15</v>
      </c>
      <c r="E345">
        <v>2022</v>
      </c>
      <c r="F345" t="s">
        <v>16</v>
      </c>
      <c r="G345" t="s">
        <v>17</v>
      </c>
      <c r="H345" t="s">
        <v>17</v>
      </c>
      <c r="I345" s="1">
        <v>44653</v>
      </c>
      <c r="J345" t="s">
        <v>17</v>
      </c>
      <c r="K345" t="s">
        <v>123</v>
      </c>
      <c r="L345" t="s">
        <v>24</v>
      </c>
    </row>
    <row r="346" spans="1:12" x14ac:dyDescent="0.25">
      <c r="A346" t="s">
        <v>612</v>
      </c>
      <c r="B346" t="s">
        <v>90</v>
      </c>
      <c r="C346" s="3">
        <v>29770</v>
      </c>
      <c r="D346" t="s">
        <v>15</v>
      </c>
      <c r="E346">
        <v>2022</v>
      </c>
      <c r="F346" t="s">
        <v>16</v>
      </c>
      <c r="G346" t="s">
        <v>17</v>
      </c>
      <c r="H346" t="s">
        <v>17</v>
      </c>
      <c r="I346" s="1">
        <v>44653</v>
      </c>
      <c r="J346" t="s">
        <v>17</v>
      </c>
      <c r="K346" t="s">
        <v>78</v>
      </c>
      <c r="L346" t="s">
        <v>31</v>
      </c>
    </row>
    <row r="347" spans="1:12" x14ac:dyDescent="0.25">
      <c r="A347" t="s">
        <v>613</v>
      </c>
      <c r="B347" t="s">
        <v>301</v>
      </c>
      <c r="C347" s="3">
        <v>42352</v>
      </c>
      <c r="D347" t="s">
        <v>15</v>
      </c>
      <c r="E347">
        <v>2022</v>
      </c>
      <c r="F347" t="s">
        <v>16</v>
      </c>
      <c r="G347" t="s">
        <v>17</v>
      </c>
      <c r="H347" t="s">
        <v>17</v>
      </c>
      <c r="I347" s="1">
        <v>44653</v>
      </c>
      <c r="J347" t="s">
        <v>17</v>
      </c>
      <c r="K347" t="s">
        <v>68</v>
      </c>
      <c r="L347" t="s">
        <v>31</v>
      </c>
    </row>
    <row r="348" spans="1:12" x14ac:dyDescent="0.25">
      <c r="A348" t="s">
        <v>614</v>
      </c>
      <c r="B348" t="s">
        <v>397</v>
      </c>
      <c r="C348" s="3">
        <v>54298</v>
      </c>
      <c r="D348" t="s">
        <v>15</v>
      </c>
      <c r="E348">
        <v>2022</v>
      </c>
      <c r="F348" t="s">
        <v>16</v>
      </c>
      <c r="G348" t="s">
        <v>17</v>
      </c>
      <c r="H348" t="s">
        <v>17</v>
      </c>
      <c r="I348" s="1">
        <v>44653</v>
      </c>
      <c r="J348" t="s">
        <v>17</v>
      </c>
      <c r="K348" t="s">
        <v>28</v>
      </c>
      <c r="L348" t="s">
        <v>31</v>
      </c>
    </row>
    <row r="349" spans="1:12" x14ac:dyDescent="0.25">
      <c r="A349" t="s">
        <v>615</v>
      </c>
      <c r="B349" t="s">
        <v>616</v>
      </c>
      <c r="C349" s="3">
        <v>44631</v>
      </c>
      <c r="D349" t="s">
        <v>15</v>
      </c>
      <c r="E349">
        <v>2022</v>
      </c>
      <c r="F349" t="s">
        <v>16</v>
      </c>
      <c r="G349" t="s">
        <v>17</v>
      </c>
      <c r="H349" t="s">
        <v>17</v>
      </c>
      <c r="I349" s="1">
        <v>44653</v>
      </c>
      <c r="J349" t="s">
        <v>17</v>
      </c>
      <c r="K349" t="s">
        <v>28</v>
      </c>
      <c r="L349" t="s">
        <v>31</v>
      </c>
    </row>
    <row r="350" spans="1:12" x14ac:dyDescent="0.25">
      <c r="A350" t="s">
        <v>617</v>
      </c>
      <c r="B350" t="s">
        <v>513</v>
      </c>
      <c r="C350" s="3">
        <v>34873</v>
      </c>
      <c r="D350" t="s">
        <v>15</v>
      </c>
      <c r="E350">
        <v>2022</v>
      </c>
      <c r="F350" t="s">
        <v>16</v>
      </c>
      <c r="G350" t="s">
        <v>17</v>
      </c>
      <c r="H350" t="s">
        <v>17</v>
      </c>
      <c r="I350" s="1">
        <v>44653</v>
      </c>
      <c r="J350" t="s">
        <v>17</v>
      </c>
      <c r="K350" t="s">
        <v>54</v>
      </c>
      <c r="L350" t="s">
        <v>31</v>
      </c>
    </row>
    <row r="351" spans="1:12" x14ac:dyDescent="0.25">
      <c r="A351" t="s">
        <v>618</v>
      </c>
      <c r="B351" t="s">
        <v>619</v>
      </c>
      <c r="C351" s="3" t="s">
        <v>620</v>
      </c>
      <c r="D351" t="s">
        <v>27</v>
      </c>
      <c r="E351">
        <v>2022</v>
      </c>
      <c r="F351" t="s">
        <v>16</v>
      </c>
      <c r="G351" t="s">
        <v>17</v>
      </c>
      <c r="H351" t="s">
        <v>17</v>
      </c>
      <c r="I351" s="1">
        <v>44653</v>
      </c>
      <c r="J351" t="s">
        <v>17</v>
      </c>
      <c r="K351" t="s">
        <v>230</v>
      </c>
      <c r="L351" t="s">
        <v>114</v>
      </c>
    </row>
    <row r="352" spans="1:12" hidden="1" x14ac:dyDescent="0.25">
      <c r="A352" t="s">
        <v>621</v>
      </c>
      <c r="B352" t="s">
        <v>407</v>
      </c>
      <c r="C352">
        <v>61966</v>
      </c>
      <c r="D352" t="s">
        <v>15</v>
      </c>
      <c r="E352">
        <v>2022</v>
      </c>
      <c r="F352" t="s">
        <v>16</v>
      </c>
      <c r="G352" t="s">
        <v>17</v>
      </c>
      <c r="H352" t="s">
        <v>17</v>
      </c>
      <c r="I352" s="1">
        <v>44653</v>
      </c>
      <c r="J352" t="s">
        <v>17</v>
      </c>
      <c r="K352" t="s">
        <v>18</v>
      </c>
      <c r="L352" t="s">
        <v>19</v>
      </c>
    </row>
    <row r="353" spans="1:12" x14ac:dyDescent="0.25">
      <c r="A353" t="s">
        <v>622</v>
      </c>
      <c r="B353" t="s">
        <v>407</v>
      </c>
      <c r="C353" s="3">
        <v>97367</v>
      </c>
      <c r="D353" t="s">
        <v>27</v>
      </c>
      <c r="E353">
        <v>2022</v>
      </c>
      <c r="F353" t="s">
        <v>16</v>
      </c>
      <c r="G353" t="s">
        <v>17</v>
      </c>
      <c r="H353" t="s">
        <v>17</v>
      </c>
      <c r="I353" s="1">
        <v>44653</v>
      </c>
      <c r="J353" t="s">
        <v>17</v>
      </c>
      <c r="K353" t="s">
        <v>137</v>
      </c>
      <c r="L353" t="s">
        <v>71</v>
      </c>
    </row>
    <row r="354" spans="1:12" x14ac:dyDescent="0.25">
      <c r="A354" t="s">
        <v>623</v>
      </c>
      <c r="B354" t="s">
        <v>103</v>
      </c>
      <c r="C354" s="3">
        <v>57780</v>
      </c>
      <c r="D354" t="s">
        <v>15</v>
      </c>
      <c r="E354">
        <v>2022</v>
      </c>
      <c r="F354" t="s">
        <v>16</v>
      </c>
      <c r="G354" t="s">
        <v>17</v>
      </c>
      <c r="H354" t="s">
        <v>17</v>
      </c>
      <c r="I354" s="1">
        <v>44653</v>
      </c>
      <c r="J354" t="s">
        <v>17</v>
      </c>
      <c r="K354" t="s">
        <v>220</v>
      </c>
      <c r="L354" t="s">
        <v>24</v>
      </c>
    </row>
    <row r="355" spans="1:12" hidden="1" x14ac:dyDescent="0.25">
      <c r="A355" t="s">
        <v>624</v>
      </c>
      <c r="B355" t="s">
        <v>464</v>
      </c>
      <c r="C355">
        <v>33109</v>
      </c>
      <c r="D355" t="s">
        <v>15</v>
      </c>
      <c r="E355">
        <v>2022</v>
      </c>
      <c r="F355" t="s">
        <v>16</v>
      </c>
      <c r="G355" t="s">
        <v>17</v>
      </c>
      <c r="H355" t="s">
        <v>17</v>
      </c>
      <c r="I355" s="1">
        <v>44653</v>
      </c>
      <c r="J355" t="s">
        <v>17</v>
      </c>
      <c r="K355" t="s">
        <v>227</v>
      </c>
      <c r="L355" t="s">
        <v>19</v>
      </c>
    </row>
    <row r="356" spans="1:12" hidden="1" x14ac:dyDescent="0.25">
      <c r="A356" t="s">
        <v>624</v>
      </c>
      <c r="B356" t="s">
        <v>625</v>
      </c>
      <c r="C356">
        <v>58842</v>
      </c>
      <c r="D356" t="s">
        <v>27</v>
      </c>
      <c r="E356">
        <v>2022</v>
      </c>
      <c r="F356" t="s">
        <v>16</v>
      </c>
      <c r="G356" t="s">
        <v>17</v>
      </c>
      <c r="H356" t="s">
        <v>17</v>
      </c>
      <c r="I356" s="1">
        <v>44653</v>
      </c>
      <c r="J356" t="s">
        <v>17</v>
      </c>
      <c r="K356" t="s">
        <v>150</v>
      </c>
      <c r="L356" t="s">
        <v>19</v>
      </c>
    </row>
    <row r="357" spans="1:12" x14ac:dyDescent="0.25">
      <c r="A357" t="s">
        <v>626</v>
      </c>
      <c r="B357" t="s">
        <v>234</v>
      </c>
      <c r="C357" s="3">
        <v>59145</v>
      </c>
      <c r="D357" t="s">
        <v>27</v>
      </c>
      <c r="E357">
        <v>2022</v>
      </c>
      <c r="F357" t="s">
        <v>16</v>
      </c>
      <c r="G357" t="s">
        <v>17</v>
      </c>
      <c r="H357" t="s">
        <v>17</v>
      </c>
      <c r="I357" s="1">
        <v>44653</v>
      </c>
      <c r="J357" t="s">
        <v>17</v>
      </c>
      <c r="K357" t="s">
        <v>23</v>
      </c>
      <c r="L357" t="s">
        <v>24</v>
      </c>
    </row>
    <row r="358" spans="1:12" hidden="1" x14ac:dyDescent="0.25">
      <c r="A358" t="s">
        <v>627</v>
      </c>
      <c r="B358" t="s">
        <v>351</v>
      </c>
      <c r="C358">
        <v>63987</v>
      </c>
      <c r="D358" t="s">
        <v>15</v>
      </c>
      <c r="E358">
        <v>2022</v>
      </c>
      <c r="F358" t="s">
        <v>16</v>
      </c>
      <c r="G358" t="s">
        <v>17</v>
      </c>
      <c r="H358" t="s">
        <v>17</v>
      </c>
      <c r="I358" s="1">
        <v>44653</v>
      </c>
      <c r="J358" t="s">
        <v>17</v>
      </c>
      <c r="K358" t="s">
        <v>78</v>
      </c>
      <c r="L358" t="s">
        <v>19</v>
      </c>
    </row>
    <row r="359" spans="1:12" x14ac:dyDescent="0.25">
      <c r="A359" t="s">
        <v>628</v>
      </c>
      <c r="B359" t="s">
        <v>629</v>
      </c>
      <c r="C359" s="3">
        <v>46950</v>
      </c>
      <c r="D359" t="s">
        <v>15</v>
      </c>
      <c r="E359">
        <v>2022</v>
      </c>
      <c r="F359" t="s">
        <v>16</v>
      </c>
      <c r="G359" t="s">
        <v>17</v>
      </c>
      <c r="H359" t="s">
        <v>17</v>
      </c>
      <c r="I359" s="1">
        <v>44653</v>
      </c>
      <c r="J359" t="s">
        <v>17</v>
      </c>
      <c r="K359" t="s">
        <v>28</v>
      </c>
      <c r="L359" t="s">
        <v>46</v>
      </c>
    </row>
    <row r="360" spans="1:12" hidden="1" x14ac:dyDescent="0.25">
      <c r="A360" t="s">
        <v>630</v>
      </c>
      <c r="B360" t="s">
        <v>395</v>
      </c>
      <c r="C360">
        <v>44624</v>
      </c>
      <c r="D360" t="s">
        <v>15</v>
      </c>
      <c r="E360">
        <v>2022</v>
      </c>
      <c r="F360" t="s">
        <v>16</v>
      </c>
      <c r="G360" t="s">
        <v>17</v>
      </c>
      <c r="H360" t="s">
        <v>17</v>
      </c>
      <c r="I360" s="1">
        <v>44653</v>
      </c>
      <c r="J360" t="s">
        <v>17</v>
      </c>
      <c r="K360" t="s">
        <v>28</v>
      </c>
      <c r="L360" t="s">
        <v>19</v>
      </c>
    </row>
    <row r="361" spans="1:12" x14ac:dyDescent="0.25">
      <c r="A361" t="s">
        <v>631</v>
      </c>
      <c r="B361" t="s">
        <v>198</v>
      </c>
      <c r="C361" s="3">
        <v>59325</v>
      </c>
      <c r="D361" t="s">
        <v>27</v>
      </c>
      <c r="E361">
        <v>2022</v>
      </c>
      <c r="F361" t="s">
        <v>16</v>
      </c>
      <c r="G361" t="s">
        <v>17</v>
      </c>
      <c r="H361" t="s">
        <v>17</v>
      </c>
      <c r="I361" s="1">
        <v>44653</v>
      </c>
      <c r="J361" t="s">
        <v>17</v>
      </c>
      <c r="K361" t="s">
        <v>57</v>
      </c>
      <c r="L361" t="s">
        <v>24</v>
      </c>
    </row>
    <row r="362" spans="1:12" hidden="1" x14ac:dyDescent="0.25">
      <c r="A362" t="s">
        <v>632</v>
      </c>
      <c r="B362" t="s">
        <v>633</v>
      </c>
      <c r="C362">
        <v>59637</v>
      </c>
      <c r="D362" t="s">
        <v>15</v>
      </c>
      <c r="E362">
        <v>2022</v>
      </c>
      <c r="F362" t="s">
        <v>16</v>
      </c>
      <c r="G362" t="s">
        <v>17</v>
      </c>
      <c r="H362" t="s">
        <v>17</v>
      </c>
      <c r="I362" s="1">
        <v>44653</v>
      </c>
      <c r="J362" t="s">
        <v>17</v>
      </c>
      <c r="K362" t="s">
        <v>63</v>
      </c>
      <c r="L362" t="s">
        <v>19</v>
      </c>
    </row>
    <row r="363" spans="1:12" x14ac:dyDescent="0.25">
      <c r="A363" t="s">
        <v>634</v>
      </c>
      <c r="B363" t="s">
        <v>429</v>
      </c>
      <c r="C363" s="3">
        <v>52131</v>
      </c>
      <c r="D363" t="s">
        <v>15</v>
      </c>
      <c r="E363">
        <v>2022</v>
      </c>
      <c r="F363" t="s">
        <v>16</v>
      </c>
      <c r="G363" t="s">
        <v>17</v>
      </c>
      <c r="H363" t="s">
        <v>17</v>
      </c>
      <c r="I363" s="1">
        <v>44653</v>
      </c>
      <c r="J363" t="s">
        <v>17</v>
      </c>
      <c r="K363" t="s">
        <v>63</v>
      </c>
      <c r="L363" t="s">
        <v>31</v>
      </c>
    </row>
    <row r="364" spans="1:12" x14ac:dyDescent="0.25">
      <c r="A364" t="s">
        <v>635</v>
      </c>
      <c r="B364" t="s">
        <v>432</v>
      </c>
      <c r="C364" s="3">
        <v>59798</v>
      </c>
      <c r="D364" t="s">
        <v>27</v>
      </c>
      <c r="E364">
        <v>2022</v>
      </c>
      <c r="F364" t="s">
        <v>16</v>
      </c>
      <c r="G364" t="s">
        <v>17</v>
      </c>
      <c r="H364" t="s">
        <v>17</v>
      </c>
      <c r="I364" s="1">
        <v>44653</v>
      </c>
      <c r="J364" t="s">
        <v>17</v>
      </c>
      <c r="K364" t="s">
        <v>636</v>
      </c>
      <c r="L364" t="s">
        <v>24</v>
      </c>
    </row>
    <row r="365" spans="1:12" hidden="1" x14ac:dyDescent="0.25">
      <c r="A365" t="s">
        <v>635</v>
      </c>
      <c r="B365" t="s">
        <v>637</v>
      </c>
      <c r="C365">
        <v>59806</v>
      </c>
      <c r="D365" t="s">
        <v>27</v>
      </c>
      <c r="E365">
        <v>2022</v>
      </c>
      <c r="F365" t="s">
        <v>16</v>
      </c>
      <c r="G365" t="s">
        <v>17</v>
      </c>
      <c r="H365" t="s">
        <v>17</v>
      </c>
      <c r="I365" s="1">
        <v>44653</v>
      </c>
      <c r="J365" t="s">
        <v>17</v>
      </c>
      <c r="K365" t="s">
        <v>42</v>
      </c>
      <c r="L365" t="s">
        <v>19</v>
      </c>
    </row>
    <row r="366" spans="1:12" x14ac:dyDescent="0.25">
      <c r="A366" t="s">
        <v>638</v>
      </c>
      <c r="B366" t="s">
        <v>639</v>
      </c>
      <c r="C366" s="3">
        <v>35508</v>
      </c>
      <c r="D366" t="s">
        <v>15</v>
      </c>
      <c r="E366">
        <v>2022</v>
      </c>
      <c r="F366" t="s">
        <v>16</v>
      </c>
      <c r="G366" t="s">
        <v>17</v>
      </c>
      <c r="H366" t="s">
        <v>17</v>
      </c>
      <c r="I366" s="1">
        <v>44653</v>
      </c>
      <c r="J366" t="s">
        <v>17</v>
      </c>
      <c r="K366" t="s">
        <v>28</v>
      </c>
      <c r="L366" t="s">
        <v>71</v>
      </c>
    </row>
    <row r="367" spans="1:12" x14ac:dyDescent="0.25">
      <c r="A367" t="s">
        <v>640</v>
      </c>
      <c r="B367" t="s">
        <v>641</v>
      </c>
      <c r="C367" s="3">
        <v>60681</v>
      </c>
      <c r="D367" t="s">
        <v>27</v>
      </c>
      <c r="E367">
        <v>2022</v>
      </c>
      <c r="F367" t="s">
        <v>16</v>
      </c>
      <c r="G367" t="s">
        <v>17</v>
      </c>
      <c r="H367" t="s">
        <v>17</v>
      </c>
      <c r="I367" s="1">
        <v>44653</v>
      </c>
      <c r="J367" t="s">
        <v>17</v>
      </c>
      <c r="K367" t="s">
        <v>23</v>
      </c>
      <c r="L367" t="s">
        <v>71</v>
      </c>
    </row>
    <row r="368" spans="1:12" hidden="1" x14ac:dyDescent="0.25">
      <c r="A368" t="s">
        <v>642</v>
      </c>
      <c r="B368" t="s">
        <v>643</v>
      </c>
      <c r="C368">
        <v>60694</v>
      </c>
      <c r="D368" t="s">
        <v>27</v>
      </c>
      <c r="E368">
        <v>2022</v>
      </c>
      <c r="F368" t="s">
        <v>16</v>
      </c>
      <c r="G368" t="s">
        <v>17</v>
      </c>
      <c r="H368" t="s">
        <v>17</v>
      </c>
      <c r="I368" s="1">
        <v>44653</v>
      </c>
      <c r="J368" t="s">
        <v>17</v>
      </c>
      <c r="K368" t="s">
        <v>28</v>
      </c>
      <c r="L368" t="s">
        <v>19</v>
      </c>
    </row>
    <row r="369" spans="1:12" x14ac:dyDescent="0.25">
      <c r="A369" t="s">
        <v>644</v>
      </c>
      <c r="B369" t="s">
        <v>330</v>
      </c>
      <c r="C369" s="3">
        <v>49812</v>
      </c>
      <c r="D369" t="s">
        <v>15</v>
      </c>
      <c r="E369">
        <v>2022</v>
      </c>
      <c r="F369" t="s">
        <v>16</v>
      </c>
      <c r="G369" t="s">
        <v>17</v>
      </c>
      <c r="H369" t="s">
        <v>17</v>
      </c>
      <c r="I369" s="1">
        <v>44653</v>
      </c>
      <c r="J369" t="s">
        <v>17</v>
      </c>
      <c r="K369" t="s">
        <v>176</v>
      </c>
      <c r="L369" t="s">
        <v>24</v>
      </c>
    </row>
    <row r="370" spans="1:12" hidden="1" x14ac:dyDescent="0.25">
      <c r="A370" t="s">
        <v>645</v>
      </c>
      <c r="B370" t="s">
        <v>574</v>
      </c>
      <c r="C370">
        <v>69277</v>
      </c>
      <c r="D370" t="s">
        <v>15</v>
      </c>
      <c r="E370">
        <v>2022</v>
      </c>
      <c r="F370" t="s">
        <v>16</v>
      </c>
      <c r="G370" t="s">
        <v>17</v>
      </c>
      <c r="H370" t="s">
        <v>17</v>
      </c>
      <c r="I370" s="1">
        <v>44653</v>
      </c>
      <c r="J370" t="s">
        <v>17</v>
      </c>
      <c r="K370" t="s">
        <v>63</v>
      </c>
      <c r="L370" t="s">
        <v>19</v>
      </c>
    </row>
    <row r="371" spans="1:12" x14ac:dyDescent="0.25">
      <c r="A371" t="s">
        <v>646</v>
      </c>
      <c r="B371" t="s">
        <v>74</v>
      </c>
      <c r="C371" s="3">
        <v>39399</v>
      </c>
      <c r="D371" t="s">
        <v>15</v>
      </c>
      <c r="E371">
        <v>2022</v>
      </c>
      <c r="F371" t="s">
        <v>16</v>
      </c>
      <c r="G371" t="s">
        <v>17</v>
      </c>
      <c r="H371" t="s">
        <v>17</v>
      </c>
      <c r="I371" s="1">
        <v>44653</v>
      </c>
      <c r="J371" t="s">
        <v>17</v>
      </c>
      <c r="K371" t="s">
        <v>51</v>
      </c>
      <c r="L371" t="s">
        <v>31</v>
      </c>
    </row>
    <row r="372" spans="1:12" x14ac:dyDescent="0.25">
      <c r="A372" t="s">
        <v>647</v>
      </c>
      <c r="B372" t="s">
        <v>77</v>
      </c>
      <c r="C372" s="3">
        <v>52214</v>
      </c>
      <c r="D372" t="s">
        <v>15</v>
      </c>
      <c r="E372">
        <v>2022</v>
      </c>
      <c r="F372" t="s">
        <v>16</v>
      </c>
      <c r="G372" t="s">
        <v>17</v>
      </c>
      <c r="H372" t="s">
        <v>17</v>
      </c>
      <c r="I372" s="1">
        <v>44653</v>
      </c>
      <c r="J372" t="s">
        <v>17</v>
      </c>
      <c r="K372" t="s">
        <v>63</v>
      </c>
      <c r="L372" t="s">
        <v>24</v>
      </c>
    </row>
    <row r="373" spans="1:12" hidden="1" x14ac:dyDescent="0.25">
      <c r="A373" t="s">
        <v>648</v>
      </c>
      <c r="B373" t="s">
        <v>77</v>
      </c>
      <c r="C373">
        <v>61265</v>
      </c>
      <c r="D373" t="s">
        <v>27</v>
      </c>
      <c r="E373">
        <v>2022</v>
      </c>
      <c r="F373" t="s">
        <v>16</v>
      </c>
      <c r="G373" t="s">
        <v>17</v>
      </c>
      <c r="H373" t="s">
        <v>17</v>
      </c>
      <c r="I373" s="1">
        <v>44653</v>
      </c>
      <c r="J373" t="s">
        <v>17</v>
      </c>
      <c r="K373" t="s">
        <v>78</v>
      </c>
      <c r="L373" t="s">
        <v>19</v>
      </c>
    </row>
    <row r="374" spans="1:12" x14ac:dyDescent="0.25">
      <c r="A374" t="s">
        <v>649</v>
      </c>
      <c r="B374" t="s">
        <v>650</v>
      </c>
      <c r="C374" s="3">
        <v>97066</v>
      </c>
      <c r="D374" t="s">
        <v>15</v>
      </c>
      <c r="E374">
        <v>2022</v>
      </c>
      <c r="F374" t="s">
        <v>16</v>
      </c>
      <c r="G374" t="s">
        <v>17</v>
      </c>
      <c r="H374" t="s">
        <v>17</v>
      </c>
      <c r="I374" s="1">
        <v>44653</v>
      </c>
      <c r="J374" t="s">
        <v>17</v>
      </c>
      <c r="K374" t="s">
        <v>28</v>
      </c>
      <c r="L374" t="s">
        <v>24</v>
      </c>
    </row>
    <row r="375" spans="1:12" hidden="1" x14ac:dyDescent="0.25">
      <c r="A375" t="s">
        <v>651</v>
      </c>
      <c r="B375" t="s">
        <v>77</v>
      </c>
      <c r="C375">
        <v>47259</v>
      </c>
      <c r="D375" t="s">
        <v>15</v>
      </c>
      <c r="E375">
        <v>2022</v>
      </c>
      <c r="F375" t="s">
        <v>16</v>
      </c>
      <c r="G375" t="s">
        <v>17</v>
      </c>
      <c r="H375" t="s">
        <v>17</v>
      </c>
      <c r="I375" s="1">
        <v>44653</v>
      </c>
      <c r="J375" t="s">
        <v>17</v>
      </c>
      <c r="K375" t="s">
        <v>652</v>
      </c>
      <c r="L375" t="s">
        <v>19</v>
      </c>
    </row>
    <row r="376" spans="1:12" x14ac:dyDescent="0.25">
      <c r="A376" t="s">
        <v>653</v>
      </c>
      <c r="B376" t="s">
        <v>654</v>
      </c>
      <c r="C376" s="3">
        <v>62597</v>
      </c>
      <c r="D376" t="s">
        <v>15</v>
      </c>
      <c r="E376">
        <v>2022</v>
      </c>
      <c r="F376" t="s">
        <v>16</v>
      </c>
      <c r="G376" t="s">
        <v>17</v>
      </c>
      <c r="H376" t="s">
        <v>17</v>
      </c>
      <c r="I376" s="1">
        <v>44653</v>
      </c>
      <c r="J376" t="s">
        <v>17</v>
      </c>
      <c r="K376" t="s">
        <v>54</v>
      </c>
      <c r="L376" t="s">
        <v>24</v>
      </c>
    </row>
    <row r="377" spans="1:12" x14ac:dyDescent="0.25">
      <c r="A377" t="s">
        <v>655</v>
      </c>
      <c r="B377" t="s">
        <v>656</v>
      </c>
      <c r="C377" s="3">
        <v>47289</v>
      </c>
      <c r="D377" t="s">
        <v>15</v>
      </c>
      <c r="E377">
        <v>2022</v>
      </c>
      <c r="F377" t="s">
        <v>16</v>
      </c>
      <c r="G377" t="s">
        <v>17</v>
      </c>
      <c r="H377" t="s">
        <v>17</v>
      </c>
      <c r="I377" s="1">
        <v>44653</v>
      </c>
      <c r="J377" t="s">
        <v>17</v>
      </c>
      <c r="K377" t="s">
        <v>78</v>
      </c>
      <c r="L377" t="s">
        <v>24</v>
      </c>
    </row>
    <row r="378" spans="1:12" x14ac:dyDescent="0.25">
      <c r="A378" t="s">
        <v>657</v>
      </c>
      <c r="B378" t="s">
        <v>658</v>
      </c>
      <c r="C378" s="3">
        <v>10896</v>
      </c>
      <c r="D378" t="s">
        <v>15</v>
      </c>
      <c r="E378">
        <v>2022</v>
      </c>
      <c r="F378" t="s">
        <v>16</v>
      </c>
      <c r="G378" t="s">
        <v>17</v>
      </c>
      <c r="H378" t="s">
        <v>17</v>
      </c>
      <c r="I378" s="1">
        <v>44653</v>
      </c>
      <c r="J378" t="s">
        <v>17</v>
      </c>
      <c r="K378" t="s">
        <v>96</v>
      </c>
      <c r="L378" t="s">
        <v>114</v>
      </c>
    </row>
    <row r="379" spans="1:12" x14ac:dyDescent="0.25">
      <c r="A379" t="s">
        <v>657</v>
      </c>
      <c r="B379" t="s">
        <v>355</v>
      </c>
      <c r="C379" s="3">
        <v>61759</v>
      </c>
      <c r="D379" t="s">
        <v>113</v>
      </c>
      <c r="E379">
        <v>2022</v>
      </c>
      <c r="F379" t="s">
        <v>16</v>
      </c>
      <c r="G379" t="s">
        <v>17</v>
      </c>
      <c r="H379" t="s">
        <v>17</v>
      </c>
      <c r="I379" s="1">
        <v>44653</v>
      </c>
      <c r="J379" t="s">
        <v>17</v>
      </c>
      <c r="K379" t="s">
        <v>85</v>
      </c>
      <c r="L379" t="s">
        <v>71</v>
      </c>
    </row>
    <row r="380" spans="1:12" hidden="1" x14ac:dyDescent="0.25">
      <c r="A380" t="s">
        <v>657</v>
      </c>
      <c r="B380" t="s">
        <v>88</v>
      </c>
      <c r="C380">
        <v>38513</v>
      </c>
      <c r="D380" t="s">
        <v>15</v>
      </c>
      <c r="E380">
        <v>2022</v>
      </c>
      <c r="F380" t="s">
        <v>16</v>
      </c>
      <c r="G380" t="s">
        <v>17</v>
      </c>
      <c r="H380" t="s">
        <v>17</v>
      </c>
      <c r="I380" s="1">
        <v>44653</v>
      </c>
      <c r="J380" t="s">
        <v>17</v>
      </c>
      <c r="K380" t="s">
        <v>18</v>
      </c>
      <c r="L380" t="s">
        <v>19</v>
      </c>
    </row>
    <row r="381" spans="1:12" x14ac:dyDescent="0.25">
      <c r="A381" t="s">
        <v>659</v>
      </c>
      <c r="B381" t="s">
        <v>660</v>
      </c>
      <c r="C381" s="3">
        <v>33230</v>
      </c>
      <c r="D381" t="s">
        <v>15</v>
      </c>
      <c r="E381">
        <v>2022</v>
      </c>
      <c r="F381" t="s">
        <v>16</v>
      </c>
      <c r="G381" t="s">
        <v>17</v>
      </c>
      <c r="H381" t="s">
        <v>17</v>
      </c>
      <c r="I381" s="1">
        <v>44653</v>
      </c>
      <c r="J381" t="s">
        <v>17</v>
      </c>
      <c r="K381" t="s">
        <v>96</v>
      </c>
      <c r="L381" t="s">
        <v>24</v>
      </c>
    </row>
    <row r="382" spans="1:12" x14ac:dyDescent="0.25">
      <c r="A382" t="s">
        <v>661</v>
      </c>
      <c r="B382" t="s">
        <v>662</v>
      </c>
      <c r="C382" s="3">
        <v>45035</v>
      </c>
      <c r="D382" t="s">
        <v>15</v>
      </c>
      <c r="E382">
        <v>2022</v>
      </c>
      <c r="F382" t="s">
        <v>16</v>
      </c>
      <c r="G382" t="s">
        <v>17</v>
      </c>
      <c r="H382" t="s">
        <v>17</v>
      </c>
      <c r="I382" s="1">
        <v>44653</v>
      </c>
      <c r="J382" t="s">
        <v>17</v>
      </c>
      <c r="K382" t="s">
        <v>636</v>
      </c>
      <c r="L382" t="s">
        <v>24</v>
      </c>
    </row>
    <row r="383" spans="1:12" x14ac:dyDescent="0.25">
      <c r="A383" t="s">
        <v>663</v>
      </c>
      <c r="B383" t="s">
        <v>664</v>
      </c>
      <c r="C383" s="3">
        <v>62323</v>
      </c>
      <c r="D383" t="s">
        <v>27</v>
      </c>
      <c r="E383">
        <v>2022</v>
      </c>
      <c r="F383" t="s">
        <v>16</v>
      </c>
      <c r="G383" t="s">
        <v>17</v>
      </c>
      <c r="H383" t="s">
        <v>17</v>
      </c>
      <c r="I383" s="1">
        <v>44653</v>
      </c>
      <c r="J383" t="s">
        <v>17</v>
      </c>
      <c r="K383" t="s">
        <v>28</v>
      </c>
      <c r="L383" t="s">
        <v>24</v>
      </c>
    </row>
    <row r="384" spans="1:12" hidden="1" x14ac:dyDescent="0.25">
      <c r="A384" t="s">
        <v>665</v>
      </c>
      <c r="B384" t="s">
        <v>244</v>
      </c>
      <c r="C384">
        <v>33093</v>
      </c>
      <c r="D384" t="s">
        <v>15</v>
      </c>
      <c r="E384">
        <v>2022</v>
      </c>
      <c r="F384" t="s">
        <v>16</v>
      </c>
      <c r="G384" t="s">
        <v>17</v>
      </c>
      <c r="H384" t="s">
        <v>17</v>
      </c>
      <c r="I384" s="1">
        <v>44653</v>
      </c>
      <c r="J384" t="s">
        <v>17</v>
      </c>
      <c r="K384" t="s">
        <v>227</v>
      </c>
      <c r="L384" t="s">
        <v>19</v>
      </c>
    </row>
    <row r="385" spans="1:12" x14ac:dyDescent="0.25">
      <c r="A385" t="s">
        <v>666</v>
      </c>
      <c r="B385" t="s">
        <v>667</v>
      </c>
      <c r="C385" s="3">
        <v>97732</v>
      </c>
      <c r="D385" t="s">
        <v>15</v>
      </c>
      <c r="E385">
        <v>2022</v>
      </c>
      <c r="F385" t="s">
        <v>16</v>
      </c>
      <c r="G385" t="s">
        <v>17</v>
      </c>
      <c r="H385" t="s">
        <v>17</v>
      </c>
      <c r="I385" s="1">
        <v>44653</v>
      </c>
      <c r="J385" t="s">
        <v>17</v>
      </c>
      <c r="K385" t="s">
        <v>28</v>
      </c>
      <c r="L385" t="s">
        <v>31</v>
      </c>
    </row>
    <row r="386" spans="1:12" x14ac:dyDescent="0.25">
      <c r="A386" t="s">
        <v>668</v>
      </c>
      <c r="B386" t="s">
        <v>189</v>
      </c>
      <c r="C386" s="3">
        <v>42681</v>
      </c>
      <c r="D386" t="s">
        <v>15</v>
      </c>
      <c r="E386">
        <v>2022</v>
      </c>
      <c r="F386" t="s">
        <v>16</v>
      </c>
      <c r="G386" t="s">
        <v>17</v>
      </c>
      <c r="H386" t="s">
        <v>17</v>
      </c>
      <c r="I386" s="1">
        <v>44653</v>
      </c>
      <c r="J386" t="s">
        <v>17</v>
      </c>
      <c r="K386" t="s">
        <v>51</v>
      </c>
      <c r="L386" t="s">
        <v>31</v>
      </c>
    </row>
    <row r="387" spans="1:12" x14ac:dyDescent="0.25">
      <c r="A387" t="s">
        <v>669</v>
      </c>
      <c r="B387" t="s">
        <v>43</v>
      </c>
      <c r="C387" s="3">
        <v>32042</v>
      </c>
      <c r="D387" t="s">
        <v>15</v>
      </c>
      <c r="E387">
        <v>2022</v>
      </c>
      <c r="F387" t="s">
        <v>16</v>
      </c>
      <c r="G387" t="s">
        <v>17</v>
      </c>
      <c r="H387" t="s">
        <v>17</v>
      </c>
      <c r="I387" s="1">
        <v>44653</v>
      </c>
      <c r="J387" t="s">
        <v>17</v>
      </c>
      <c r="K387" t="s">
        <v>44</v>
      </c>
      <c r="L387" t="s">
        <v>24</v>
      </c>
    </row>
    <row r="388" spans="1:12" x14ac:dyDescent="0.25">
      <c r="A388" t="s">
        <v>670</v>
      </c>
      <c r="B388" t="s">
        <v>222</v>
      </c>
      <c r="C388" s="3">
        <v>62934</v>
      </c>
      <c r="D388" t="s">
        <v>27</v>
      </c>
      <c r="E388">
        <v>2022</v>
      </c>
      <c r="F388" t="s">
        <v>16</v>
      </c>
      <c r="G388" t="s">
        <v>17</v>
      </c>
      <c r="H388" t="s">
        <v>17</v>
      </c>
      <c r="I388" s="1">
        <v>44653</v>
      </c>
      <c r="J388" t="s">
        <v>17</v>
      </c>
      <c r="K388" t="s">
        <v>68</v>
      </c>
      <c r="L388" t="s">
        <v>24</v>
      </c>
    </row>
    <row r="389" spans="1:12" x14ac:dyDescent="0.25">
      <c r="A389" t="s">
        <v>671</v>
      </c>
      <c r="B389" t="s">
        <v>581</v>
      </c>
      <c r="C389" s="3">
        <v>89725</v>
      </c>
      <c r="D389" t="s">
        <v>27</v>
      </c>
      <c r="E389">
        <v>2022</v>
      </c>
      <c r="F389" t="s">
        <v>16</v>
      </c>
      <c r="G389" t="s">
        <v>17</v>
      </c>
      <c r="H389" t="s">
        <v>17</v>
      </c>
      <c r="I389" s="1">
        <v>44653</v>
      </c>
      <c r="J389" t="s">
        <v>17</v>
      </c>
      <c r="K389" t="s">
        <v>68</v>
      </c>
      <c r="L389" t="s">
        <v>114</v>
      </c>
    </row>
    <row r="390" spans="1:12" x14ac:dyDescent="0.25">
      <c r="A390" t="s">
        <v>672</v>
      </c>
      <c r="B390" t="s">
        <v>74</v>
      </c>
      <c r="C390" s="3">
        <v>97227</v>
      </c>
      <c r="D390" t="s">
        <v>15</v>
      </c>
      <c r="E390">
        <v>2022</v>
      </c>
      <c r="F390" t="s">
        <v>16</v>
      </c>
      <c r="G390" t="s">
        <v>17</v>
      </c>
      <c r="H390" t="s">
        <v>17</v>
      </c>
      <c r="I390" s="1">
        <v>44653</v>
      </c>
      <c r="J390" t="s">
        <v>17</v>
      </c>
      <c r="K390" t="s">
        <v>28</v>
      </c>
      <c r="L390" t="s">
        <v>31</v>
      </c>
    </row>
    <row r="391" spans="1:12" hidden="1" x14ac:dyDescent="0.25">
      <c r="A391" t="s">
        <v>673</v>
      </c>
      <c r="B391" t="s">
        <v>371</v>
      </c>
      <c r="C391">
        <v>37756</v>
      </c>
      <c r="D391" t="s">
        <v>15</v>
      </c>
      <c r="E391">
        <v>2022</v>
      </c>
      <c r="F391" t="s">
        <v>16</v>
      </c>
      <c r="G391" t="s">
        <v>17</v>
      </c>
      <c r="H391" t="s">
        <v>17</v>
      </c>
      <c r="I391" s="1">
        <v>44653</v>
      </c>
      <c r="J391" t="s">
        <v>17</v>
      </c>
      <c r="K391" t="s">
        <v>23</v>
      </c>
      <c r="L391" t="s">
        <v>19</v>
      </c>
    </row>
    <row r="392" spans="1:12" x14ac:dyDescent="0.25">
      <c r="A392" t="s">
        <v>674</v>
      </c>
      <c r="B392" t="s">
        <v>254</v>
      </c>
      <c r="C392" s="3">
        <v>34814</v>
      </c>
      <c r="D392" t="s">
        <v>15</v>
      </c>
      <c r="E392">
        <v>2022</v>
      </c>
      <c r="F392" t="s">
        <v>16</v>
      </c>
      <c r="G392" t="s">
        <v>17</v>
      </c>
      <c r="H392" t="s">
        <v>17</v>
      </c>
      <c r="I392" s="1">
        <v>44653</v>
      </c>
      <c r="J392" t="s">
        <v>17</v>
      </c>
      <c r="K392" t="s">
        <v>28</v>
      </c>
      <c r="L392" t="s">
        <v>31</v>
      </c>
    </row>
    <row r="393" spans="1:12" hidden="1" x14ac:dyDescent="0.25">
      <c r="A393" t="s">
        <v>675</v>
      </c>
      <c r="B393" t="s">
        <v>88</v>
      </c>
      <c r="C393">
        <v>54508</v>
      </c>
      <c r="D393" t="s">
        <v>15</v>
      </c>
      <c r="E393">
        <v>2022</v>
      </c>
      <c r="F393" t="s">
        <v>16</v>
      </c>
      <c r="G393" t="s">
        <v>17</v>
      </c>
      <c r="H393" t="s">
        <v>17</v>
      </c>
      <c r="I393" s="1">
        <v>44653</v>
      </c>
      <c r="J393" t="s">
        <v>17</v>
      </c>
      <c r="K393" t="s">
        <v>78</v>
      </c>
      <c r="L393" t="s">
        <v>19</v>
      </c>
    </row>
    <row r="394" spans="1:12" x14ac:dyDescent="0.25">
      <c r="A394" t="s">
        <v>676</v>
      </c>
      <c r="B394" t="s">
        <v>103</v>
      </c>
      <c r="C394" s="3">
        <v>63680</v>
      </c>
      <c r="D394" t="s">
        <v>27</v>
      </c>
      <c r="E394">
        <v>2022</v>
      </c>
      <c r="F394" t="s">
        <v>16</v>
      </c>
      <c r="G394" t="s">
        <v>17</v>
      </c>
      <c r="H394" t="s">
        <v>17</v>
      </c>
      <c r="I394" s="1">
        <v>44653</v>
      </c>
      <c r="J394" t="s">
        <v>17</v>
      </c>
      <c r="K394" t="s">
        <v>85</v>
      </c>
      <c r="L394" t="s">
        <v>24</v>
      </c>
    </row>
    <row r="395" spans="1:12" x14ac:dyDescent="0.25">
      <c r="A395" t="s">
        <v>677</v>
      </c>
      <c r="B395" t="s">
        <v>492</v>
      </c>
      <c r="C395" s="3">
        <v>97603</v>
      </c>
      <c r="D395" t="s">
        <v>100</v>
      </c>
      <c r="E395">
        <v>2022</v>
      </c>
      <c r="F395" t="s">
        <v>16</v>
      </c>
      <c r="G395" t="s">
        <v>17</v>
      </c>
      <c r="H395" t="s">
        <v>17</v>
      </c>
      <c r="I395" s="1">
        <v>44653</v>
      </c>
      <c r="J395" t="s">
        <v>17</v>
      </c>
      <c r="K395" t="s">
        <v>54</v>
      </c>
      <c r="L395" t="s">
        <v>24</v>
      </c>
    </row>
    <row r="396" spans="1:12" x14ac:dyDescent="0.25">
      <c r="A396" t="s">
        <v>677</v>
      </c>
      <c r="B396" t="s">
        <v>492</v>
      </c>
      <c r="C396" s="3">
        <v>97603</v>
      </c>
      <c r="D396" t="s">
        <v>101</v>
      </c>
      <c r="E396">
        <v>2022</v>
      </c>
      <c r="F396" t="s">
        <v>16</v>
      </c>
      <c r="G396" t="s">
        <v>17</v>
      </c>
      <c r="H396" t="s">
        <v>17</v>
      </c>
      <c r="I396" s="1">
        <v>44653</v>
      </c>
      <c r="J396" t="s">
        <v>17</v>
      </c>
      <c r="K396" t="s">
        <v>54</v>
      </c>
      <c r="L396" t="s">
        <v>24</v>
      </c>
    </row>
    <row r="397" spans="1:12" x14ac:dyDescent="0.25">
      <c r="A397" t="s">
        <v>639</v>
      </c>
      <c r="B397" t="s">
        <v>678</v>
      </c>
      <c r="C397" s="3">
        <v>63570</v>
      </c>
      <c r="D397" t="s">
        <v>27</v>
      </c>
      <c r="E397">
        <v>2022</v>
      </c>
      <c r="F397" t="s">
        <v>16</v>
      </c>
      <c r="G397" t="s">
        <v>17</v>
      </c>
      <c r="H397" t="s">
        <v>17</v>
      </c>
      <c r="I397" s="1">
        <v>44653</v>
      </c>
      <c r="J397" t="s">
        <v>17</v>
      </c>
      <c r="K397" t="s">
        <v>28</v>
      </c>
      <c r="L397" t="s">
        <v>71</v>
      </c>
    </row>
    <row r="398" spans="1:12" x14ac:dyDescent="0.25">
      <c r="A398" t="s">
        <v>639</v>
      </c>
      <c r="B398" t="s">
        <v>679</v>
      </c>
      <c r="C398" s="3">
        <v>23143</v>
      </c>
      <c r="D398" t="s">
        <v>27</v>
      </c>
      <c r="E398">
        <v>2022</v>
      </c>
      <c r="F398" t="s">
        <v>16</v>
      </c>
      <c r="G398" t="s">
        <v>17</v>
      </c>
      <c r="H398" t="s">
        <v>17</v>
      </c>
      <c r="I398" s="1">
        <v>44653</v>
      </c>
      <c r="J398" t="s">
        <v>17</v>
      </c>
      <c r="K398" t="s">
        <v>23</v>
      </c>
      <c r="L398" t="s">
        <v>393</v>
      </c>
    </row>
    <row r="399" spans="1:12" x14ac:dyDescent="0.25">
      <c r="A399" t="s">
        <v>680</v>
      </c>
      <c r="B399" t="s">
        <v>74</v>
      </c>
      <c r="C399" s="3">
        <v>62435</v>
      </c>
      <c r="D399" t="s">
        <v>15</v>
      </c>
      <c r="E399">
        <v>2022</v>
      </c>
      <c r="F399" t="s">
        <v>16</v>
      </c>
      <c r="G399" t="s">
        <v>17</v>
      </c>
      <c r="H399" t="s">
        <v>17</v>
      </c>
      <c r="I399" s="1">
        <v>44653</v>
      </c>
      <c r="J399" t="s">
        <v>17</v>
      </c>
      <c r="K399" t="s">
        <v>51</v>
      </c>
      <c r="L399" t="s">
        <v>24</v>
      </c>
    </row>
    <row r="400" spans="1:12" x14ac:dyDescent="0.25">
      <c r="A400" t="s">
        <v>681</v>
      </c>
      <c r="B400" t="s">
        <v>682</v>
      </c>
      <c r="C400" s="3">
        <v>33855</v>
      </c>
      <c r="D400" t="s">
        <v>15</v>
      </c>
      <c r="E400">
        <v>2022</v>
      </c>
      <c r="F400" t="s">
        <v>16</v>
      </c>
      <c r="G400" t="s">
        <v>17</v>
      </c>
      <c r="H400" t="s">
        <v>17</v>
      </c>
      <c r="I400" s="1">
        <v>44653</v>
      </c>
      <c r="J400" t="s">
        <v>17</v>
      </c>
      <c r="K400" t="s">
        <v>220</v>
      </c>
      <c r="L400" t="s">
        <v>71</v>
      </c>
    </row>
    <row r="401" spans="1:12" hidden="1" x14ac:dyDescent="0.25">
      <c r="A401" t="s">
        <v>683</v>
      </c>
      <c r="B401" t="s">
        <v>74</v>
      </c>
      <c r="C401">
        <v>54354</v>
      </c>
      <c r="D401" t="s">
        <v>15</v>
      </c>
      <c r="E401">
        <v>2022</v>
      </c>
      <c r="F401" t="s">
        <v>16</v>
      </c>
      <c r="G401" t="s">
        <v>17</v>
      </c>
      <c r="H401" t="s">
        <v>17</v>
      </c>
      <c r="I401" s="1">
        <v>44653</v>
      </c>
      <c r="J401" t="s">
        <v>17</v>
      </c>
      <c r="K401" t="s">
        <v>28</v>
      </c>
      <c r="L401" t="s">
        <v>19</v>
      </c>
    </row>
    <row r="402" spans="1:12" x14ac:dyDescent="0.25">
      <c r="A402" t="s">
        <v>684</v>
      </c>
      <c r="B402" t="s">
        <v>685</v>
      </c>
      <c r="C402" s="3">
        <v>54126</v>
      </c>
      <c r="D402" t="s">
        <v>15</v>
      </c>
      <c r="E402">
        <v>2022</v>
      </c>
      <c r="F402" t="s">
        <v>16</v>
      </c>
      <c r="G402" t="s">
        <v>17</v>
      </c>
      <c r="H402" t="s">
        <v>17</v>
      </c>
      <c r="I402" s="1">
        <v>44653</v>
      </c>
      <c r="J402" t="s">
        <v>17</v>
      </c>
      <c r="K402" t="s">
        <v>42</v>
      </c>
      <c r="L402" t="s">
        <v>31</v>
      </c>
    </row>
    <row r="403" spans="1:12" x14ac:dyDescent="0.25">
      <c r="A403" t="s">
        <v>686</v>
      </c>
      <c r="B403" t="s">
        <v>156</v>
      </c>
      <c r="C403" s="3">
        <v>41638</v>
      </c>
      <c r="D403" t="s">
        <v>15</v>
      </c>
      <c r="E403">
        <v>2022</v>
      </c>
      <c r="F403" t="s">
        <v>16</v>
      </c>
      <c r="G403" t="s">
        <v>17</v>
      </c>
      <c r="H403" t="s">
        <v>17</v>
      </c>
      <c r="I403" s="1">
        <v>44653</v>
      </c>
      <c r="J403" t="s">
        <v>17</v>
      </c>
      <c r="K403" t="s">
        <v>60</v>
      </c>
      <c r="L403" t="s">
        <v>71</v>
      </c>
    </row>
    <row r="404" spans="1:12" x14ac:dyDescent="0.25">
      <c r="A404" t="s">
        <v>687</v>
      </c>
      <c r="B404" t="s">
        <v>189</v>
      </c>
      <c r="C404" s="3">
        <v>39625</v>
      </c>
      <c r="D404" t="s">
        <v>15</v>
      </c>
      <c r="E404">
        <v>2022</v>
      </c>
      <c r="F404" t="s">
        <v>16</v>
      </c>
      <c r="G404" t="s">
        <v>17</v>
      </c>
      <c r="H404" t="s">
        <v>17</v>
      </c>
      <c r="I404" s="1">
        <v>44653</v>
      </c>
      <c r="J404" t="s">
        <v>17</v>
      </c>
      <c r="K404" t="s">
        <v>23</v>
      </c>
      <c r="L404" t="s">
        <v>31</v>
      </c>
    </row>
    <row r="405" spans="1:12" x14ac:dyDescent="0.25">
      <c r="A405" t="s">
        <v>688</v>
      </c>
      <c r="B405" t="s">
        <v>689</v>
      </c>
      <c r="C405" s="3">
        <v>64608</v>
      </c>
      <c r="D405" t="s">
        <v>27</v>
      </c>
      <c r="E405">
        <v>2022</v>
      </c>
      <c r="F405" t="s">
        <v>16</v>
      </c>
      <c r="G405" t="s">
        <v>17</v>
      </c>
      <c r="H405" t="s">
        <v>17</v>
      </c>
      <c r="I405" s="1">
        <v>44653</v>
      </c>
      <c r="J405" t="s">
        <v>17</v>
      </c>
      <c r="K405" t="s">
        <v>28</v>
      </c>
      <c r="L405" t="s">
        <v>71</v>
      </c>
    </row>
    <row r="406" spans="1:12" x14ac:dyDescent="0.25">
      <c r="A406" t="s">
        <v>690</v>
      </c>
      <c r="B406" t="s">
        <v>39</v>
      </c>
      <c r="C406" s="3">
        <v>45124</v>
      </c>
      <c r="D406" t="s">
        <v>15</v>
      </c>
      <c r="E406">
        <v>2022</v>
      </c>
      <c r="F406" t="s">
        <v>16</v>
      </c>
      <c r="G406" t="s">
        <v>17</v>
      </c>
      <c r="H406" t="s">
        <v>17</v>
      </c>
      <c r="I406" s="1">
        <v>44653</v>
      </c>
      <c r="J406" t="s">
        <v>17</v>
      </c>
      <c r="K406" t="s">
        <v>104</v>
      </c>
      <c r="L406" t="s">
        <v>31</v>
      </c>
    </row>
    <row r="407" spans="1:12" hidden="1" x14ac:dyDescent="0.25">
      <c r="A407" t="s">
        <v>691</v>
      </c>
      <c r="B407" t="s">
        <v>689</v>
      </c>
      <c r="C407">
        <v>47948</v>
      </c>
      <c r="D407" t="s">
        <v>15</v>
      </c>
      <c r="E407">
        <v>2022</v>
      </c>
      <c r="F407" t="s">
        <v>16</v>
      </c>
      <c r="G407" t="s">
        <v>17</v>
      </c>
      <c r="H407" t="s">
        <v>17</v>
      </c>
      <c r="I407" s="1">
        <v>44653</v>
      </c>
      <c r="J407" t="s">
        <v>17</v>
      </c>
      <c r="K407" t="s">
        <v>44</v>
      </c>
      <c r="L407" t="s">
        <v>19</v>
      </c>
    </row>
    <row r="408" spans="1:12" x14ac:dyDescent="0.25">
      <c r="A408" t="s">
        <v>692</v>
      </c>
      <c r="B408" t="s">
        <v>693</v>
      </c>
      <c r="C408" s="3">
        <v>32385</v>
      </c>
      <c r="D408" t="s">
        <v>15</v>
      </c>
      <c r="E408">
        <v>2022</v>
      </c>
      <c r="F408" t="s">
        <v>16</v>
      </c>
      <c r="G408" t="s">
        <v>17</v>
      </c>
      <c r="H408" t="s">
        <v>17</v>
      </c>
      <c r="I408" s="1">
        <v>44653</v>
      </c>
      <c r="J408" t="s">
        <v>17</v>
      </c>
      <c r="K408" t="s">
        <v>28</v>
      </c>
      <c r="L408" t="s">
        <v>24</v>
      </c>
    </row>
    <row r="409" spans="1:12" hidden="1" x14ac:dyDescent="0.25">
      <c r="A409" t="s">
        <v>694</v>
      </c>
      <c r="B409" t="s">
        <v>397</v>
      </c>
      <c r="C409">
        <v>63345</v>
      </c>
      <c r="D409" t="s">
        <v>27</v>
      </c>
      <c r="E409">
        <v>2022</v>
      </c>
      <c r="F409" t="s">
        <v>16</v>
      </c>
      <c r="G409" t="s">
        <v>17</v>
      </c>
      <c r="H409" t="s">
        <v>17</v>
      </c>
      <c r="I409" s="1">
        <v>44653</v>
      </c>
      <c r="J409" t="s">
        <v>17</v>
      </c>
      <c r="K409" t="s">
        <v>137</v>
      </c>
      <c r="L409" t="s">
        <v>19</v>
      </c>
    </row>
    <row r="410" spans="1:12" x14ac:dyDescent="0.25">
      <c r="A410" t="s">
        <v>695</v>
      </c>
      <c r="B410" t="s">
        <v>525</v>
      </c>
      <c r="C410" s="3">
        <v>44161</v>
      </c>
      <c r="D410" t="s">
        <v>15</v>
      </c>
      <c r="E410">
        <v>2022</v>
      </c>
      <c r="F410" t="s">
        <v>16</v>
      </c>
      <c r="G410" t="s">
        <v>17</v>
      </c>
      <c r="H410" t="s">
        <v>17</v>
      </c>
      <c r="I410" s="1">
        <v>44653</v>
      </c>
      <c r="J410" t="s">
        <v>17</v>
      </c>
      <c r="K410" t="s">
        <v>399</v>
      </c>
      <c r="L410" t="s">
        <v>31</v>
      </c>
    </row>
    <row r="411" spans="1:12" hidden="1" x14ac:dyDescent="0.25">
      <c r="A411" t="s">
        <v>695</v>
      </c>
      <c r="B411" t="s">
        <v>77</v>
      </c>
      <c r="C411">
        <v>54969</v>
      </c>
      <c r="D411" t="s">
        <v>15</v>
      </c>
      <c r="E411">
        <v>2022</v>
      </c>
      <c r="F411" t="s">
        <v>16</v>
      </c>
      <c r="G411" t="s">
        <v>17</v>
      </c>
      <c r="H411" t="s">
        <v>17</v>
      </c>
      <c r="I411" s="1">
        <v>44653</v>
      </c>
      <c r="J411" t="s">
        <v>17</v>
      </c>
      <c r="K411" t="s">
        <v>28</v>
      </c>
      <c r="L411" t="s">
        <v>19</v>
      </c>
    </row>
    <row r="412" spans="1:12" x14ac:dyDescent="0.25">
      <c r="A412" t="s">
        <v>696</v>
      </c>
      <c r="B412" t="s">
        <v>95</v>
      </c>
      <c r="C412" s="3">
        <v>66642</v>
      </c>
      <c r="D412" t="s">
        <v>27</v>
      </c>
      <c r="E412">
        <v>2022</v>
      </c>
      <c r="F412" t="s">
        <v>16</v>
      </c>
      <c r="G412" t="s">
        <v>17</v>
      </c>
      <c r="H412" t="s">
        <v>17</v>
      </c>
      <c r="I412" s="1">
        <v>44653</v>
      </c>
      <c r="J412" t="s">
        <v>17</v>
      </c>
      <c r="K412" t="s">
        <v>28</v>
      </c>
      <c r="L412" t="s">
        <v>24</v>
      </c>
    </row>
    <row r="413" spans="1:12" x14ac:dyDescent="0.25">
      <c r="A413" t="s">
        <v>697</v>
      </c>
      <c r="B413" t="s">
        <v>698</v>
      </c>
      <c r="C413" s="3">
        <v>14267</v>
      </c>
      <c r="D413" t="s">
        <v>27</v>
      </c>
      <c r="E413">
        <v>2022</v>
      </c>
      <c r="F413" t="s">
        <v>16</v>
      </c>
      <c r="G413" t="s">
        <v>17</v>
      </c>
      <c r="H413" t="s">
        <v>17</v>
      </c>
      <c r="I413" s="1">
        <v>44653</v>
      </c>
      <c r="J413" t="s">
        <v>17</v>
      </c>
      <c r="K413" t="s">
        <v>23</v>
      </c>
      <c r="L413" t="s">
        <v>24</v>
      </c>
    </row>
    <row r="414" spans="1:12" x14ac:dyDescent="0.25">
      <c r="A414" t="s">
        <v>697</v>
      </c>
      <c r="B414" t="s">
        <v>699</v>
      </c>
      <c r="C414" s="3">
        <v>18550</v>
      </c>
      <c r="D414" t="s">
        <v>113</v>
      </c>
      <c r="E414">
        <v>2022</v>
      </c>
      <c r="F414" t="s">
        <v>16</v>
      </c>
      <c r="G414" t="s">
        <v>17</v>
      </c>
      <c r="H414" t="s">
        <v>17</v>
      </c>
      <c r="I414" s="1">
        <v>44653</v>
      </c>
      <c r="J414" t="s">
        <v>17</v>
      </c>
      <c r="K414" t="s">
        <v>104</v>
      </c>
      <c r="L414" t="s">
        <v>71</v>
      </c>
    </row>
    <row r="415" spans="1:12" x14ac:dyDescent="0.25">
      <c r="A415" t="s">
        <v>700</v>
      </c>
      <c r="B415" t="s">
        <v>502</v>
      </c>
      <c r="C415" s="3">
        <v>33727</v>
      </c>
      <c r="D415" t="s">
        <v>15</v>
      </c>
      <c r="E415">
        <v>2022</v>
      </c>
      <c r="F415" t="s">
        <v>16</v>
      </c>
      <c r="G415" t="s">
        <v>17</v>
      </c>
      <c r="H415" t="s">
        <v>17</v>
      </c>
      <c r="I415" s="1">
        <v>44653</v>
      </c>
      <c r="J415" t="s">
        <v>17</v>
      </c>
      <c r="K415" t="s">
        <v>28</v>
      </c>
      <c r="L415" t="s">
        <v>24</v>
      </c>
    </row>
    <row r="416" spans="1:12" hidden="1" x14ac:dyDescent="0.25">
      <c r="A416" t="s">
        <v>701</v>
      </c>
      <c r="B416" t="s">
        <v>702</v>
      </c>
      <c r="C416">
        <v>78943</v>
      </c>
      <c r="D416" t="s">
        <v>15</v>
      </c>
      <c r="E416">
        <v>2022</v>
      </c>
      <c r="F416" t="s">
        <v>16</v>
      </c>
      <c r="G416" t="s">
        <v>17</v>
      </c>
      <c r="H416" t="s">
        <v>17</v>
      </c>
      <c r="I416" s="1">
        <v>44653</v>
      </c>
      <c r="J416" t="s">
        <v>17</v>
      </c>
      <c r="K416" t="s">
        <v>93</v>
      </c>
      <c r="L416" t="s">
        <v>19</v>
      </c>
    </row>
    <row r="417" spans="1:12" x14ac:dyDescent="0.25">
      <c r="A417" t="s">
        <v>703</v>
      </c>
      <c r="B417" t="s">
        <v>704</v>
      </c>
      <c r="C417" s="3">
        <v>7474</v>
      </c>
      <c r="D417" t="s">
        <v>27</v>
      </c>
      <c r="E417">
        <v>2022</v>
      </c>
      <c r="F417" t="s">
        <v>16</v>
      </c>
      <c r="G417" t="s">
        <v>17</v>
      </c>
      <c r="H417" t="s">
        <v>17</v>
      </c>
      <c r="I417" s="1">
        <v>44653</v>
      </c>
      <c r="J417" t="s">
        <v>17</v>
      </c>
      <c r="K417" t="s">
        <v>28</v>
      </c>
      <c r="L417" t="s">
        <v>24</v>
      </c>
    </row>
    <row r="418" spans="1:12" x14ac:dyDescent="0.25">
      <c r="A418" t="s">
        <v>705</v>
      </c>
      <c r="B418" t="s">
        <v>74</v>
      </c>
      <c r="C418" s="3">
        <v>70038</v>
      </c>
      <c r="D418" t="s">
        <v>336</v>
      </c>
      <c r="E418">
        <v>2022</v>
      </c>
      <c r="F418" t="s">
        <v>16</v>
      </c>
      <c r="G418" t="s">
        <v>17</v>
      </c>
      <c r="H418" t="s">
        <v>17</v>
      </c>
      <c r="I418" s="1">
        <v>44653</v>
      </c>
      <c r="J418" t="s">
        <v>17</v>
      </c>
      <c r="K418" t="s">
        <v>399</v>
      </c>
      <c r="L418" t="s">
        <v>24</v>
      </c>
    </row>
    <row r="419" spans="1:12" x14ac:dyDescent="0.25">
      <c r="A419" t="s">
        <v>706</v>
      </c>
      <c r="B419" t="s">
        <v>149</v>
      </c>
      <c r="C419" s="3">
        <v>43081</v>
      </c>
      <c r="D419" t="s">
        <v>15</v>
      </c>
      <c r="E419">
        <v>2022</v>
      </c>
      <c r="F419" t="s">
        <v>16</v>
      </c>
      <c r="G419" t="s">
        <v>17</v>
      </c>
      <c r="H419" t="s">
        <v>17</v>
      </c>
      <c r="I419" s="1">
        <v>44653</v>
      </c>
      <c r="J419" t="s">
        <v>17</v>
      </c>
      <c r="K419" t="s">
        <v>28</v>
      </c>
      <c r="L419" t="s">
        <v>71</v>
      </c>
    </row>
    <row r="420" spans="1:12" hidden="1" x14ac:dyDescent="0.25">
      <c r="A420" t="s">
        <v>707</v>
      </c>
      <c r="B420" t="s">
        <v>708</v>
      </c>
      <c r="C420">
        <v>49702</v>
      </c>
      <c r="D420" t="s">
        <v>15</v>
      </c>
      <c r="E420">
        <v>2022</v>
      </c>
      <c r="F420" t="s">
        <v>16</v>
      </c>
      <c r="G420" t="s">
        <v>17</v>
      </c>
      <c r="H420" t="s">
        <v>17</v>
      </c>
      <c r="I420" s="1">
        <v>44653</v>
      </c>
      <c r="J420" t="s">
        <v>17</v>
      </c>
      <c r="K420" t="s">
        <v>399</v>
      </c>
      <c r="L420" t="s">
        <v>19</v>
      </c>
    </row>
    <row r="421" spans="1:12" x14ac:dyDescent="0.25">
      <c r="A421" t="s">
        <v>709</v>
      </c>
      <c r="B421" t="s">
        <v>175</v>
      </c>
      <c r="C421" s="3">
        <v>45061</v>
      </c>
      <c r="D421" t="s">
        <v>15</v>
      </c>
      <c r="E421">
        <v>2022</v>
      </c>
      <c r="F421" t="s">
        <v>16</v>
      </c>
      <c r="G421" t="s">
        <v>17</v>
      </c>
      <c r="H421" t="s">
        <v>17</v>
      </c>
      <c r="I421" s="1">
        <v>44653</v>
      </c>
      <c r="J421" t="s">
        <v>17</v>
      </c>
      <c r="K421" t="s">
        <v>54</v>
      </c>
      <c r="L421" t="s">
        <v>71</v>
      </c>
    </row>
    <row r="422" spans="1:12" x14ac:dyDescent="0.25">
      <c r="A422" t="s">
        <v>710</v>
      </c>
      <c r="B422" t="s">
        <v>409</v>
      </c>
      <c r="C422" s="3">
        <v>52872</v>
      </c>
      <c r="D422" t="s">
        <v>15</v>
      </c>
      <c r="E422">
        <v>2022</v>
      </c>
      <c r="F422" t="s">
        <v>16</v>
      </c>
      <c r="G422" t="s">
        <v>17</v>
      </c>
      <c r="H422" t="s">
        <v>17</v>
      </c>
      <c r="I422" s="1">
        <v>44653</v>
      </c>
      <c r="J422" t="s">
        <v>17</v>
      </c>
      <c r="K422" t="s">
        <v>181</v>
      </c>
      <c r="L422" t="s">
        <v>24</v>
      </c>
    </row>
    <row r="423" spans="1:12" x14ac:dyDescent="0.25">
      <c r="A423" t="s">
        <v>710</v>
      </c>
      <c r="B423" t="s">
        <v>711</v>
      </c>
      <c r="C423" s="3">
        <v>61100</v>
      </c>
      <c r="D423" t="s">
        <v>15</v>
      </c>
      <c r="E423">
        <v>2022</v>
      </c>
      <c r="F423" t="s">
        <v>16</v>
      </c>
      <c r="G423" t="s">
        <v>17</v>
      </c>
      <c r="H423" t="s">
        <v>17</v>
      </c>
      <c r="I423" s="1">
        <v>44653</v>
      </c>
      <c r="J423" t="s">
        <v>17</v>
      </c>
      <c r="K423" t="s">
        <v>23</v>
      </c>
      <c r="L423" t="s">
        <v>24</v>
      </c>
    </row>
    <row r="424" spans="1:12" hidden="1" x14ac:dyDescent="0.25">
      <c r="A424" t="s">
        <v>712</v>
      </c>
      <c r="B424" t="s">
        <v>143</v>
      </c>
      <c r="C424">
        <v>59035</v>
      </c>
      <c r="D424" t="s">
        <v>15</v>
      </c>
      <c r="E424">
        <v>2022</v>
      </c>
      <c r="F424" t="s">
        <v>16</v>
      </c>
      <c r="G424" t="s">
        <v>17</v>
      </c>
      <c r="H424" t="s">
        <v>17</v>
      </c>
      <c r="I424" s="1">
        <v>44653</v>
      </c>
      <c r="J424" t="s">
        <v>17</v>
      </c>
      <c r="K424" t="s">
        <v>18</v>
      </c>
      <c r="L424" t="s">
        <v>19</v>
      </c>
    </row>
    <row r="425" spans="1:12" x14ac:dyDescent="0.25">
      <c r="A425" t="s">
        <v>713</v>
      </c>
      <c r="B425" t="s">
        <v>714</v>
      </c>
      <c r="C425" s="3">
        <v>22157</v>
      </c>
      <c r="D425" t="s">
        <v>113</v>
      </c>
      <c r="E425">
        <v>2022</v>
      </c>
      <c r="F425" t="s">
        <v>16</v>
      </c>
      <c r="G425" t="s">
        <v>17</v>
      </c>
      <c r="H425" t="s">
        <v>17</v>
      </c>
      <c r="I425" s="1">
        <v>44653</v>
      </c>
      <c r="J425" t="s">
        <v>17</v>
      </c>
      <c r="K425" t="s">
        <v>44</v>
      </c>
      <c r="L425" t="s">
        <v>71</v>
      </c>
    </row>
    <row r="426" spans="1:12" hidden="1" x14ac:dyDescent="0.25">
      <c r="A426" t="s">
        <v>715</v>
      </c>
      <c r="B426" t="s">
        <v>682</v>
      </c>
      <c r="C426">
        <v>70027</v>
      </c>
      <c r="D426" t="s">
        <v>27</v>
      </c>
      <c r="E426">
        <v>2022</v>
      </c>
      <c r="F426" t="s">
        <v>16</v>
      </c>
      <c r="G426" t="s">
        <v>17</v>
      </c>
      <c r="H426" t="s">
        <v>17</v>
      </c>
      <c r="I426" s="1">
        <v>44653</v>
      </c>
      <c r="J426" t="s">
        <v>17</v>
      </c>
      <c r="K426" t="s">
        <v>28</v>
      </c>
      <c r="L426" t="s">
        <v>19</v>
      </c>
    </row>
    <row r="427" spans="1:12" x14ac:dyDescent="0.25">
      <c r="A427" t="s">
        <v>716</v>
      </c>
      <c r="B427" t="s">
        <v>574</v>
      </c>
      <c r="C427" s="3">
        <v>37165</v>
      </c>
      <c r="D427" t="s">
        <v>15</v>
      </c>
      <c r="E427">
        <v>2022</v>
      </c>
      <c r="F427" t="s">
        <v>16</v>
      </c>
      <c r="G427" t="s">
        <v>17</v>
      </c>
      <c r="H427" t="s">
        <v>17</v>
      </c>
      <c r="I427" s="1">
        <v>44653</v>
      </c>
      <c r="J427" t="s">
        <v>17</v>
      </c>
      <c r="K427" t="s">
        <v>717</v>
      </c>
      <c r="L427" t="s">
        <v>24</v>
      </c>
    </row>
    <row r="428" spans="1:12" hidden="1" x14ac:dyDescent="0.25">
      <c r="A428" t="s">
        <v>718</v>
      </c>
      <c r="B428" t="s">
        <v>234</v>
      </c>
      <c r="C428">
        <v>4227</v>
      </c>
      <c r="D428" t="s">
        <v>27</v>
      </c>
      <c r="E428">
        <v>2022</v>
      </c>
      <c r="F428" t="s">
        <v>16</v>
      </c>
      <c r="G428" t="s">
        <v>17</v>
      </c>
      <c r="H428" t="s">
        <v>17</v>
      </c>
      <c r="I428" s="1">
        <v>44653</v>
      </c>
      <c r="J428" t="s">
        <v>17</v>
      </c>
      <c r="K428" t="s">
        <v>137</v>
      </c>
      <c r="L428" t="s">
        <v>19</v>
      </c>
    </row>
    <row r="429" spans="1:12" x14ac:dyDescent="0.25">
      <c r="A429" t="s">
        <v>719</v>
      </c>
      <c r="B429" t="s">
        <v>383</v>
      </c>
      <c r="C429" s="3">
        <v>49711</v>
      </c>
      <c r="D429" t="s">
        <v>15</v>
      </c>
      <c r="E429">
        <v>2022</v>
      </c>
      <c r="F429" t="s">
        <v>16</v>
      </c>
      <c r="G429" t="s">
        <v>17</v>
      </c>
      <c r="H429" t="s">
        <v>17</v>
      </c>
      <c r="I429" s="1">
        <v>44653</v>
      </c>
      <c r="J429" t="s">
        <v>17</v>
      </c>
      <c r="K429" t="s">
        <v>23</v>
      </c>
      <c r="L429" t="s">
        <v>46</v>
      </c>
    </row>
    <row r="430" spans="1:12" x14ac:dyDescent="0.25">
      <c r="A430" t="s">
        <v>720</v>
      </c>
      <c r="B430" t="s">
        <v>721</v>
      </c>
      <c r="C430" s="3">
        <v>37274</v>
      </c>
      <c r="D430" t="s">
        <v>15</v>
      </c>
      <c r="E430">
        <v>2022</v>
      </c>
      <c r="F430" t="s">
        <v>16</v>
      </c>
      <c r="G430" t="s">
        <v>17</v>
      </c>
      <c r="H430" t="s">
        <v>17</v>
      </c>
      <c r="I430" s="1">
        <v>44653</v>
      </c>
      <c r="J430" t="s">
        <v>17</v>
      </c>
      <c r="K430" t="s">
        <v>150</v>
      </c>
      <c r="L430" t="s">
        <v>71</v>
      </c>
    </row>
    <row r="431" spans="1:12" x14ac:dyDescent="0.25">
      <c r="A431" t="s">
        <v>722</v>
      </c>
      <c r="B431" t="s">
        <v>519</v>
      </c>
      <c r="C431" s="3">
        <v>45111</v>
      </c>
      <c r="D431" t="s">
        <v>15</v>
      </c>
      <c r="E431">
        <v>2022</v>
      </c>
      <c r="F431" t="s">
        <v>16</v>
      </c>
      <c r="G431" t="s">
        <v>17</v>
      </c>
      <c r="H431" t="s">
        <v>17</v>
      </c>
      <c r="I431" s="1">
        <v>44653</v>
      </c>
      <c r="J431" t="s">
        <v>17</v>
      </c>
      <c r="K431" t="s">
        <v>227</v>
      </c>
      <c r="L431" t="s">
        <v>31</v>
      </c>
    </row>
    <row r="432" spans="1:12" hidden="1" x14ac:dyDescent="0.25">
      <c r="A432" t="s">
        <v>723</v>
      </c>
      <c r="B432" t="s">
        <v>708</v>
      </c>
      <c r="C432">
        <v>23890</v>
      </c>
      <c r="D432" t="s">
        <v>27</v>
      </c>
      <c r="E432">
        <v>2022</v>
      </c>
      <c r="F432" t="s">
        <v>16</v>
      </c>
      <c r="G432" t="s">
        <v>17</v>
      </c>
      <c r="H432" t="s">
        <v>17</v>
      </c>
      <c r="I432" s="1">
        <v>44653</v>
      </c>
      <c r="J432" t="s">
        <v>17</v>
      </c>
      <c r="K432" t="s">
        <v>23</v>
      </c>
      <c r="L432" t="s">
        <v>19</v>
      </c>
    </row>
    <row r="433" spans="1:12" x14ac:dyDescent="0.25">
      <c r="A433" t="s">
        <v>724</v>
      </c>
      <c r="B433" t="s">
        <v>725</v>
      </c>
      <c r="C433" s="3">
        <v>40215</v>
      </c>
      <c r="D433" t="s">
        <v>15</v>
      </c>
      <c r="E433">
        <v>2022</v>
      </c>
      <c r="F433" t="s">
        <v>16</v>
      </c>
      <c r="G433" t="s">
        <v>17</v>
      </c>
      <c r="H433" t="s">
        <v>17</v>
      </c>
      <c r="I433" s="1">
        <v>44653</v>
      </c>
      <c r="J433" t="s">
        <v>17</v>
      </c>
      <c r="K433" t="s">
        <v>63</v>
      </c>
      <c r="L433" t="s">
        <v>24</v>
      </c>
    </row>
    <row r="434" spans="1:12" x14ac:dyDescent="0.25">
      <c r="A434" t="s">
        <v>726</v>
      </c>
      <c r="B434" t="s">
        <v>727</v>
      </c>
      <c r="C434" s="3">
        <v>48721</v>
      </c>
      <c r="D434" t="s">
        <v>15</v>
      </c>
      <c r="E434">
        <v>2022</v>
      </c>
      <c r="F434" t="s">
        <v>16</v>
      </c>
      <c r="G434" t="s">
        <v>17</v>
      </c>
      <c r="H434" t="s">
        <v>17</v>
      </c>
      <c r="I434" s="1">
        <v>44653</v>
      </c>
      <c r="J434" t="s">
        <v>17</v>
      </c>
      <c r="K434" t="s">
        <v>23</v>
      </c>
      <c r="L434" t="s">
        <v>393</v>
      </c>
    </row>
    <row r="435" spans="1:12" hidden="1" x14ac:dyDescent="0.25">
      <c r="A435" t="s">
        <v>726</v>
      </c>
      <c r="B435" t="s">
        <v>154</v>
      </c>
      <c r="C435">
        <v>50249</v>
      </c>
      <c r="D435" t="s">
        <v>15</v>
      </c>
      <c r="E435">
        <v>2022</v>
      </c>
      <c r="F435" t="s">
        <v>16</v>
      </c>
      <c r="G435" t="s">
        <v>17</v>
      </c>
      <c r="H435" t="s">
        <v>17</v>
      </c>
      <c r="I435" s="1">
        <v>44653</v>
      </c>
      <c r="J435" t="s">
        <v>17</v>
      </c>
      <c r="K435" t="s">
        <v>18</v>
      </c>
      <c r="L435" t="s">
        <v>19</v>
      </c>
    </row>
    <row r="436" spans="1:12" hidden="1" x14ac:dyDescent="0.25">
      <c r="A436" t="s">
        <v>726</v>
      </c>
      <c r="B436" t="s">
        <v>77</v>
      </c>
      <c r="C436">
        <v>50247</v>
      </c>
      <c r="D436" t="s">
        <v>15</v>
      </c>
      <c r="E436">
        <v>2022</v>
      </c>
      <c r="F436" t="s">
        <v>16</v>
      </c>
      <c r="G436" t="s">
        <v>17</v>
      </c>
      <c r="H436" t="s">
        <v>17</v>
      </c>
      <c r="I436" s="1">
        <v>44653</v>
      </c>
      <c r="J436" t="s">
        <v>17</v>
      </c>
      <c r="K436" t="s">
        <v>60</v>
      </c>
      <c r="L436" t="s">
        <v>19</v>
      </c>
    </row>
    <row r="437" spans="1:12" x14ac:dyDescent="0.25">
      <c r="A437" t="s">
        <v>728</v>
      </c>
      <c r="B437" t="s">
        <v>729</v>
      </c>
      <c r="C437" s="3">
        <v>51950</v>
      </c>
      <c r="D437" t="s">
        <v>15</v>
      </c>
      <c r="E437">
        <v>2022</v>
      </c>
      <c r="F437" t="s">
        <v>16</v>
      </c>
      <c r="G437" t="s">
        <v>17</v>
      </c>
      <c r="H437" t="s">
        <v>17</v>
      </c>
      <c r="I437" s="1">
        <v>44653</v>
      </c>
      <c r="J437" t="s">
        <v>17</v>
      </c>
      <c r="K437" t="s">
        <v>23</v>
      </c>
      <c r="L437" t="s">
        <v>71</v>
      </c>
    </row>
    <row r="438" spans="1:12" x14ac:dyDescent="0.25">
      <c r="A438" t="s">
        <v>730</v>
      </c>
      <c r="B438" t="s">
        <v>731</v>
      </c>
      <c r="C438" s="3">
        <v>88762</v>
      </c>
      <c r="D438" t="s">
        <v>101</v>
      </c>
      <c r="E438">
        <v>2022</v>
      </c>
      <c r="F438" t="s">
        <v>16</v>
      </c>
      <c r="G438" t="s">
        <v>17</v>
      </c>
      <c r="H438" t="s">
        <v>17</v>
      </c>
      <c r="I438" s="1">
        <v>44653</v>
      </c>
      <c r="J438" t="s">
        <v>17</v>
      </c>
      <c r="K438" t="s">
        <v>85</v>
      </c>
      <c r="L438" t="s">
        <v>71</v>
      </c>
    </row>
    <row r="439" spans="1:12" hidden="1" x14ac:dyDescent="0.25">
      <c r="A439" t="s">
        <v>116</v>
      </c>
      <c r="B439" t="s">
        <v>732</v>
      </c>
      <c r="C439">
        <v>72010</v>
      </c>
      <c r="D439" t="s">
        <v>27</v>
      </c>
      <c r="E439">
        <v>2022</v>
      </c>
      <c r="F439" t="s">
        <v>16</v>
      </c>
      <c r="G439" t="s">
        <v>17</v>
      </c>
      <c r="H439" t="s">
        <v>17</v>
      </c>
      <c r="I439" s="1">
        <v>44653</v>
      </c>
      <c r="J439" t="s">
        <v>17</v>
      </c>
      <c r="K439" t="s">
        <v>68</v>
      </c>
      <c r="L439" t="s">
        <v>19</v>
      </c>
    </row>
    <row r="440" spans="1:12" x14ac:dyDescent="0.25">
      <c r="A440" t="s">
        <v>733</v>
      </c>
      <c r="B440" t="s">
        <v>734</v>
      </c>
      <c r="C440" s="3">
        <v>42554</v>
      </c>
      <c r="D440" t="s">
        <v>15</v>
      </c>
      <c r="E440">
        <v>2022</v>
      </c>
      <c r="F440" t="s">
        <v>16</v>
      </c>
      <c r="G440" t="s">
        <v>17</v>
      </c>
      <c r="H440" t="s">
        <v>17</v>
      </c>
      <c r="I440" s="1">
        <v>44653</v>
      </c>
      <c r="J440" t="s">
        <v>17</v>
      </c>
      <c r="K440" t="s">
        <v>123</v>
      </c>
      <c r="L440" t="s">
        <v>24</v>
      </c>
    </row>
    <row r="441" spans="1:12" x14ac:dyDescent="0.25">
      <c r="A441" t="s">
        <v>735</v>
      </c>
      <c r="B441" t="s">
        <v>736</v>
      </c>
      <c r="C441" s="3">
        <v>50253</v>
      </c>
      <c r="D441" t="s">
        <v>15</v>
      </c>
      <c r="E441">
        <v>2022</v>
      </c>
      <c r="F441" t="s">
        <v>16</v>
      </c>
      <c r="G441" t="s">
        <v>17</v>
      </c>
      <c r="H441" t="s">
        <v>17</v>
      </c>
      <c r="I441" s="1">
        <v>44653</v>
      </c>
      <c r="J441" t="s">
        <v>17</v>
      </c>
      <c r="K441" t="s">
        <v>472</v>
      </c>
      <c r="L441" t="s">
        <v>24</v>
      </c>
    </row>
    <row r="442" spans="1:12" x14ac:dyDescent="0.25">
      <c r="A442" t="s">
        <v>737</v>
      </c>
      <c r="B442" t="s">
        <v>574</v>
      </c>
      <c r="C442" s="3">
        <v>22368</v>
      </c>
      <c r="D442" t="s">
        <v>113</v>
      </c>
      <c r="E442">
        <v>2022</v>
      </c>
      <c r="F442" t="s">
        <v>16</v>
      </c>
      <c r="G442" t="s">
        <v>17</v>
      </c>
      <c r="H442" t="s">
        <v>17</v>
      </c>
      <c r="I442" s="1">
        <v>44653</v>
      </c>
      <c r="J442" t="s">
        <v>17</v>
      </c>
      <c r="K442" t="s">
        <v>137</v>
      </c>
      <c r="L442" t="s">
        <v>71</v>
      </c>
    </row>
    <row r="443" spans="1:12" x14ac:dyDescent="0.25">
      <c r="A443" t="s">
        <v>738</v>
      </c>
      <c r="B443" t="s">
        <v>739</v>
      </c>
      <c r="C443" s="3">
        <v>97685</v>
      </c>
      <c r="D443" t="s">
        <v>15</v>
      </c>
      <c r="E443">
        <v>2022</v>
      </c>
      <c r="F443" t="s">
        <v>16</v>
      </c>
      <c r="G443" t="s">
        <v>17</v>
      </c>
      <c r="H443" t="s">
        <v>17</v>
      </c>
      <c r="I443" s="1">
        <v>44653</v>
      </c>
      <c r="J443" t="s">
        <v>17</v>
      </c>
      <c r="K443" t="s">
        <v>28</v>
      </c>
      <c r="L443" t="s">
        <v>71</v>
      </c>
    </row>
    <row r="444" spans="1:12" x14ac:dyDescent="0.25">
      <c r="A444" t="s">
        <v>738</v>
      </c>
      <c r="B444" t="s">
        <v>53</v>
      </c>
      <c r="C444" s="3">
        <v>38664</v>
      </c>
      <c r="D444" t="s">
        <v>15</v>
      </c>
      <c r="E444">
        <v>2022</v>
      </c>
      <c r="F444" t="s">
        <v>16</v>
      </c>
      <c r="G444" t="s">
        <v>17</v>
      </c>
      <c r="H444" t="s">
        <v>17</v>
      </c>
      <c r="I444" s="1">
        <v>44653</v>
      </c>
      <c r="J444" t="s">
        <v>17</v>
      </c>
      <c r="K444" t="s">
        <v>23</v>
      </c>
      <c r="L444" t="s">
        <v>31</v>
      </c>
    </row>
    <row r="445" spans="1:12" x14ac:dyDescent="0.25">
      <c r="A445" t="s">
        <v>740</v>
      </c>
      <c r="B445" t="s">
        <v>432</v>
      </c>
      <c r="C445" s="3">
        <v>42280</v>
      </c>
      <c r="D445" t="s">
        <v>15</v>
      </c>
      <c r="E445">
        <v>2022</v>
      </c>
      <c r="F445" t="s">
        <v>16</v>
      </c>
      <c r="G445" t="s">
        <v>17</v>
      </c>
      <c r="H445" t="s">
        <v>17</v>
      </c>
      <c r="I445" s="1">
        <v>44653</v>
      </c>
      <c r="J445" t="s">
        <v>17</v>
      </c>
      <c r="K445" t="s">
        <v>23</v>
      </c>
      <c r="L445" t="s">
        <v>31</v>
      </c>
    </row>
    <row r="446" spans="1:12" x14ac:dyDescent="0.25">
      <c r="A446" t="s">
        <v>740</v>
      </c>
      <c r="B446" t="s">
        <v>189</v>
      </c>
      <c r="C446" s="3">
        <v>49013</v>
      </c>
      <c r="D446" t="s">
        <v>15</v>
      </c>
      <c r="E446">
        <v>2022</v>
      </c>
      <c r="F446" t="s">
        <v>16</v>
      </c>
      <c r="G446" t="s">
        <v>17</v>
      </c>
      <c r="H446" t="s">
        <v>17</v>
      </c>
      <c r="I446" s="1">
        <v>44653</v>
      </c>
      <c r="J446" t="s">
        <v>17</v>
      </c>
      <c r="K446" t="s">
        <v>23</v>
      </c>
      <c r="L446" t="s">
        <v>31</v>
      </c>
    </row>
    <row r="447" spans="1:12" x14ac:dyDescent="0.25">
      <c r="A447" t="s">
        <v>741</v>
      </c>
      <c r="B447" t="s">
        <v>477</v>
      </c>
      <c r="C447" s="3">
        <v>5027</v>
      </c>
      <c r="D447" t="s">
        <v>27</v>
      </c>
      <c r="E447">
        <v>2022</v>
      </c>
      <c r="F447" t="s">
        <v>16</v>
      </c>
      <c r="G447" t="s">
        <v>17</v>
      </c>
      <c r="H447" t="s">
        <v>17</v>
      </c>
      <c r="I447" s="1">
        <v>44653</v>
      </c>
      <c r="J447" t="s">
        <v>17</v>
      </c>
      <c r="K447" t="s">
        <v>78</v>
      </c>
      <c r="L447" t="s">
        <v>24</v>
      </c>
    </row>
    <row r="448" spans="1:12" x14ac:dyDescent="0.25">
      <c r="A448" t="s">
        <v>741</v>
      </c>
      <c r="B448" t="s">
        <v>742</v>
      </c>
      <c r="C448" s="3">
        <v>30984</v>
      </c>
      <c r="D448" t="s">
        <v>15</v>
      </c>
      <c r="E448">
        <v>2022</v>
      </c>
      <c r="F448" t="s">
        <v>16</v>
      </c>
      <c r="G448" t="s">
        <v>17</v>
      </c>
      <c r="H448" t="s">
        <v>17</v>
      </c>
      <c r="I448" s="1">
        <v>44653</v>
      </c>
      <c r="J448" t="s">
        <v>17</v>
      </c>
      <c r="K448" t="s">
        <v>230</v>
      </c>
      <c r="L448" t="s">
        <v>24</v>
      </c>
    </row>
    <row r="449" spans="1:12" x14ac:dyDescent="0.25">
      <c r="A449" t="s">
        <v>743</v>
      </c>
      <c r="B449" t="s">
        <v>316</v>
      </c>
      <c r="C449" s="3">
        <v>35604</v>
      </c>
      <c r="D449" t="s">
        <v>15</v>
      </c>
      <c r="E449">
        <v>2022</v>
      </c>
      <c r="F449" t="s">
        <v>16</v>
      </c>
      <c r="G449" t="s">
        <v>17</v>
      </c>
      <c r="H449" t="s">
        <v>17</v>
      </c>
      <c r="I449" s="1">
        <v>44653</v>
      </c>
      <c r="J449" t="s">
        <v>17</v>
      </c>
      <c r="K449" t="s">
        <v>75</v>
      </c>
      <c r="L449" t="s">
        <v>31</v>
      </c>
    </row>
    <row r="450" spans="1:12" x14ac:dyDescent="0.25">
      <c r="A450" t="s">
        <v>744</v>
      </c>
      <c r="B450" t="s">
        <v>103</v>
      </c>
      <c r="C450" s="3">
        <v>47421</v>
      </c>
      <c r="D450" t="s">
        <v>15</v>
      </c>
      <c r="E450">
        <v>2022</v>
      </c>
      <c r="F450" t="s">
        <v>16</v>
      </c>
      <c r="G450" t="s">
        <v>17</v>
      </c>
      <c r="H450" t="s">
        <v>17</v>
      </c>
      <c r="I450" s="1">
        <v>44653</v>
      </c>
      <c r="J450" t="s">
        <v>17</v>
      </c>
      <c r="K450" t="s">
        <v>23</v>
      </c>
      <c r="L450" t="s">
        <v>31</v>
      </c>
    </row>
    <row r="451" spans="1:12" x14ac:dyDescent="0.25">
      <c r="A451" t="s">
        <v>745</v>
      </c>
      <c r="B451" t="s">
        <v>746</v>
      </c>
      <c r="C451" s="3">
        <v>5163</v>
      </c>
      <c r="D451" t="s">
        <v>27</v>
      </c>
      <c r="E451">
        <v>2022</v>
      </c>
      <c r="F451" t="s">
        <v>16</v>
      </c>
      <c r="G451" t="s">
        <v>17</v>
      </c>
      <c r="H451" t="s">
        <v>17</v>
      </c>
      <c r="I451" s="1">
        <v>44653</v>
      </c>
      <c r="J451" t="s">
        <v>17</v>
      </c>
      <c r="K451" t="s">
        <v>34</v>
      </c>
      <c r="L451" t="s">
        <v>71</v>
      </c>
    </row>
    <row r="452" spans="1:12" hidden="1" x14ac:dyDescent="0.25">
      <c r="A452" t="s">
        <v>747</v>
      </c>
      <c r="B452" t="s">
        <v>432</v>
      </c>
      <c r="C452">
        <v>73444</v>
      </c>
      <c r="D452" t="s">
        <v>27</v>
      </c>
      <c r="E452">
        <v>2022</v>
      </c>
      <c r="F452" t="s">
        <v>16</v>
      </c>
      <c r="G452" t="s">
        <v>17</v>
      </c>
      <c r="H452" t="s">
        <v>17</v>
      </c>
      <c r="I452" s="1">
        <v>44653</v>
      </c>
      <c r="J452" t="s">
        <v>17</v>
      </c>
      <c r="K452" t="s">
        <v>93</v>
      </c>
      <c r="L452" t="s">
        <v>19</v>
      </c>
    </row>
    <row r="453" spans="1:12" x14ac:dyDescent="0.25">
      <c r="A453" t="s">
        <v>747</v>
      </c>
      <c r="B453" t="s">
        <v>198</v>
      </c>
      <c r="C453" s="3">
        <v>53605</v>
      </c>
      <c r="D453" t="s">
        <v>15</v>
      </c>
      <c r="E453">
        <v>2022</v>
      </c>
      <c r="F453" t="s">
        <v>16</v>
      </c>
      <c r="G453" t="s">
        <v>17</v>
      </c>
      <c r="H453" t="s">
        <v>17</v>
      </c>
      <c r="I453" s="1">
        <v>44653</v>
      </c>
      <c r="J453" t="s">
        <v>17</v>
      </c>
      <c r="K453" t="s">
        <v>93</v>
      </c>
      <c r="L453" t="s">
        <v>24</v>
      </c>
    </row>
    <row r="454" spans="1:12" x14ac:dyDescent="0.25">
      <c r="A454" t="s">
        <v>747</v>
      </c>
      <c r="B454" t="s">
        <v>43</v>
      </c>
      <c r="C454" s="3">
        <v>54073</v>
      </c>
      <c r="D454" t="s">
        <v>15</v>
      </c>
      <c r="E454">
        <v>2022</v>
      </c>
      <c r="F454" t="s">
        <v>16</v>
      </c>
      <c r="G454" t="s">
        <v>17</v>
      </c>
      <c r="H454" t="s">
        <v>17</v>
      </c>
      <c r="I454" s="1">
        <v>44653</v>
      </c>
      <c r="J454" t="s">
        <v>17</v>
      </c>
      <c r="K454" t="s">
        <v>227</v>
      </c>
      <c r="L454" t="s">
        <v>31</v>
      </c>
    </row>
    <row r="455" spans="1:12" hidden="1" x14ac:dyDescent="0.25">
      <c r="A455" t="s">
        <v>748</v>
      </c>
      <c r="B455" t="s">
        <v>749</v>
      </c>
      <c r="C455">
        <v>51685</v>
      </c>
      <c r="D455" t="s">
        <v>15</v>
      </c>
      <c r="E455">
        <v>2022</v>
      </c>
      <c r="F455" t="s">
        <v>16</v>
      </c>
      <c r="G455" t="s">
        <v>17</v>
      </c>
      <c r="H455" t="s">
        <v>17</v>
      </c>
      <c r="I455" s="1">
        <v>44653</v>
      </c>
      <c r="J455" t="s">
        <v>17</v>
      </c>
      <c r="K455" t="s">
        <v>23</v>
      </c>
      <c r="L455" t="s">
        <v>19</v>
      </c>
    </row>
    <row r="456" spans="1:12" x14ac:dyDescent="0.25">
      <c r="A456" t="s">
        <v>750</v>
      </c>
      <c r="B456" t="s">
        <v>616</v>
      </c>
      <c r="C456" s="3">
        <v>51818</v>
      </c>
      <c r="D456" t="s">
        <v>15</v>
      </c>
      <c r="E456">
        <v>2022</v>
      </c>
      <c r="F456" t="s">
        <v>16</v>
      </c>
      <c r="G456" t="s">
        <v>17</v>
      </c>
      <c r="H456" t="s">
        <v>17</v>
      </c>
      <c r="I456" s="1">
        <v>44653</v>
      </c>
      <c r="J456" t="s">
        <v>17</v>
      </c>
      <c r="K456" t="s">
        <v>85</v>
      </c>
      <c r="L456" t="s">
        <v>31</v>
      </c>
    </row>
    <row r="457" spans="1:12" x14ac:dyDescent="0.25">
      <c r="A457" t="s">
        <v>751</v>
      </c>
      <c r="B457" t="s">
        <v>752</v>
      </c>
      <c r="C457" s="3">
        <v>34774</v>
      </c>
      <c r="D457" t="s">
        <v>15</v>
      </c>
      <c r="E457">
        <v>2022</v>
      </c>
      <c r="F457" t="s">
        <v>16</v>
      </c>
      <c r="G457" t="s">
        <v>17</v>
      </c>
      <c r="H457" t="s">
        <v>17</v>
      </c>
      <c r="I457" s="1">
        <v>44653</v>
      </c>
      <c r="J457" t="s">
        <v>17</v>
      </c>
      <c r="K457" t="s">
        <v>23</v>
      </c>
      <c r="L457" t="s">
        <v>31</v>
      </c>
    </row>
    <row r="458" spans="1:12" x14ac:dyDescent="0.25">
      <c r="A458" t="s">
        <v>753</v>
      </c>
      <c r="B458" t="s">
        <v>754</v>
      </c>
      <c r="C458" s="3">
        <v>45977</v>
      </c>
      <c r="D458" t="s">
        <v>15</v>
      </c>
      <c r="E458">
        <v>2022</v>
      </c>
      <c r="F458" t="s">
        <v>16</v>
      </c>
      <c r="G458" t="s">
        <v>17</v>
      </c>
      <c r="H458" t="s">
        <v>17</v>
      </c>
      <c r="I458" s="1">
        <v>44653</v>
      </c>
      <c r="J458" t="s">
        <v>17</v>
      </c>
      <c r="K458" t="s">
        <v>23</v>
      </c>
      <c r="L458" t="s">
        <v>31</v>
      </c>
    </row>
    <row r="459" spans="1:12" x14ac:dyDescent="0.25">
      <c r="A459" t="s">
        <v>314</v>
      </c>
      <c r="B459" t="s">
        <v>755</v>
      </c>
      <c r="C459" s="3">
        <v>3364</v>
      </c>
      <c r="D459" t="s">
        <v>27</v>
      </c>
      <c r="E459">
        <v>2022</v>
      </c>
      <c r="F459" t="s">
        <v>16</v>
      </c>
      <c r="G459" t="s">
        <v>17</v>
      </c>
      <c r="H459" t="s">
        <v>17</v>
      </c>
      <c r="I459" s="1">
        <v>44653</v>
      </c>
      <c r="J459" t="s">
        <v>17</v>
      </c>
      <c r="K459" t="s">
        <v>28</v>
      </c>
      <c r="L459" t="s">
        <v>24</v>
      </c>
    </row>
    <row r="460" spans="1:12" x14ac:dyDescent="0.25">
      <c r="A460" t="s">
        <v>756</v>
      </c>
      <c r="B460" t="s">
        <v>77</v>
      </c>
      <c r="C460" s="3">
        <v>74588</v>
      </c>
      <c r="D460" t="s">
        <v>27</v>
      </c>
      <c r="E460">
        <v>2022</v>
      </c>
      <c r="F460" t="s">
        <v>16</v>
      </c>
      <c r="G460" t="s">
        <v>17</v>
      </c>
      <c r="H460" t="s">
        <v>17</v>
      </c>
      <c r="I460" s="1">
        <v>44653</v>
      </c>
      <c r="J460" t="s">
        <v>17</v>
      </c>
      <c r="K460" t="s">
        <v>23</v>
      </c>
      <c r="L460" t="s">
        <v>24</v>
      </c>
    </row>
    <row r="461" spans="1:12" hidden="1" x14ac:dyDescent="0.25">
      <c r="A461" t="s">
        <v>757</v>
      </c>
      <c r="B461" t="s">
        <v>758</v>
      </c>
      <c r="C461">
        <v>16000</v>
      </c>
      <c r="D461" t="s">
        <v>113</v>
      </c>
      <c r="E461">
        <v>2022</v>
      </c>
      <c r="F461" t="s">
        <v>16</v>
      </c>
      <c r="G461" t="s">
        <v>17</v>
      </c>
      <c r="H461" t="s">
        <v>17</v>
      </c>
      <c r="I461" s="1">
        <v>44653</v>
      </c>
      <c r="J461" t="s">
        <v>17</v>
      </c>
      <c r="K461" t="s">
        <v>137</v>
      </c>
      <c r="L461" t="s">
        <v>19</v>
      </c>
    </row>
    <row r="462" spans="1:12" x14ac:dyDescent="0.25">
      <c r="A462" t="s">
        <v>759</v>
      </c>
      <c r="B462" t="s">
        <v>161</v>
      </c>
      <c r="C462" s="3">
        <v>46415</v>
      </c>
      <c r="D462" t="s">
        <v>15</v>
      </c>
      <c r="E462">
        <v>2022</v>
      </c>
      <c r="F462" t="s">
        <v>16</v>
      </c>
      <c r="G462" t="s">
        <v>17</v>
      </c>
      <c r="H462" t="s">
        <v>17</v>
      </c>
      <c r="I462" s="1">
        <v>44653</v>
      </c>
      <c r="J462" t="s">
        <v>17</v>
      </c>
      <c r="K462" t="s">
        <v>760</v>
      </c>
      <c r="L462" t="s">
        <v>31</v>
      </c>
    </row>
    <row r="463" spans="1:12" x14ac:dyDescent="0.25">
      <c r="A463" t="s">
        <v>761</v>
      </c>
      <c r="B463" t="s">
        <v>371</v>
      </c>
      <c r="C463" s="3">
        <v>36869</v>
      </c>
      <c r="D463" t="s">
        <v>27</v>
      </c>
      <c r="E463">
        <v>2022</v>
      </c>
      <c r="F463" t="s">
        <v>16</v>
      </c>
      <c r="G463" t="s">
        <v>17</v>
      </c>
      <c r="H463" t="s">
        <v>17</v>
      </c>
      <c r="I463" s="1">
        <v>44653</v>
      </c>
      <c r="J463" t="s">
        <v>17</v>
      </c>
      <c r="K463" t="s">
        <v>23</v>
      </c>
      <c r="L463" t="s">
        <v>393</v>
      </c>
    </row>
    <row r="464" spans="1:12" hidden="1" x14ac:dyDescent="0.25">
      <c r="A464" t="s">
        <v>762</v>
      </c>
      <c r="B464" t="s">
        <v>74</v>
      </c>
      <c r="C464">
        <v>36938</v>
      </c>
      <c r="D464" t="s">
        <v>15</v>
      </c>
      <c r="E464">
        <v>2022</v>
      </c>
      <c r="F464" t="s">
        <v>16</v>
      </c>
      <c r="G464" t="s">
        <v>17</v>
      </c>
      <c r="H464" t="s">
        <v>17</v>
      </c>
      <c r="I464" s="1">
        <v>44653</v>
      </c>
      <c r="J464" t="s">
        <v>17</v>
      </c>
      <c r="K464" t="s">
        <v>18</v>
      </c>
      <c r="L464" t="s">
        <v>19</v>
      </c>
    </row>
    <row r="465" spans="1:12" x14ac:dyDescent="0.25">
      <c r="A465" t="s">
        <v>763</v>
      </c>
      <c r="B465" t="s">
        <v>489</v>
      </c>
      <c r="C465" s="3">
        <v>75035</v>
      </c>
      <c r="D465" t="s">
        <v>27</v>
      </c>
      <c r="E465">
        <v>2022</v>
      </c>
      <c r="F465" t="s">
        <v>16</v>
      </c>
      <c r="G465" t="s">
        <v>17</v>
      </c>
      <c r="H465" t="s">
        <v>17</v>
      </c>
      <c r="I465" s="1">
        <v>44653</v>
      </c>
      <c r="J465" t="s">
        <v>17</v>
      </c>
      <c r="K465" t="s">
        <v>157</v>
      </c>
      <c r="L465" t="s">
        <v>71</v>
      </c>
    </row>
    <row r="466" spans="1:12" x14ac:dyDescent="0.25">
      <c r="A466" t="s">
        <v>764</v>
      </c>
      <c r="B466" t="s">
        <v>254</v>
      </c>
      <c r="C466" s="3">
        <v>44894</v>
      </c>
      <c r="D466" t="s">
        <v>15</v>
      </c>
      <c r="E466">
        <v>2022</v>
      </c>
      <c r="F466" t="s">
        <v>16</v>
      </c>
      <c r="G466" t="s">
        <v>17</v>
      </c>
      <c r="H466" t="s">
        <v>17</v>
      </c>
      <c r="I466" s="1">
        <v>44653</v>
      </c>
      <c r="J466" t="s">
        <v>17</v>
      </c>
      <c r="K466" t="s">
        <v>28</v>
      </c>
      <c r="L466" t="s">
        <v>24</v>
      </c>
    </row>
    <row r="467" spans="1:12" x14ac:dyDescent="0.25">
      <c r="A467" t="s">
        <v>764</v>
      </c>
      <c r="B467" t="s">
        <v>53</v>
      </c>
      <c r="C467" s="3">
        <v>4326</v>
      </c>
      <c r="D467" t="s">
        <v>27</v>
      </c>
      <c r="E467">
        <v>2022</v>
      </c>
      <c r="F467" t="s">
        <v>16</v>
      </c>
      <c r="G467" t="s">
        <v>17</v>
      </c>
      <c r="H467" t="s">
        <v>17</v>
      </c>
      <c r="I467" s="1">
        <v>44653</v>
      </c>
      <c r="J467" t="s">
        <v>17</v>
      </c>
      <c r="K467" t="s">
        <v>28</v>
      </c>
      <c r="L467" t="s">
        <v>24</v>
      </c>
    </row>
    <row r="468" spans="1:12" x14ac:dyDescent="0.25">
      <c r="A468" t="s">
        <v>764</v>
      </c>
      <c r="B468" t="s">
        <v>189</v>
      </c>
      <c r="C468" s="3">
        <v>75037</v>
      </c>
      <c r="D468" t="s">
        <v>27</v>
      </c>
      <c r="E468">
        <v>2022</v>
      </c>
      <c r="F468" t="s">
        <v>16</v>
      </c>
      <c r="G468" t="s">
        <v>17</v>
      </c>
      <c r="H468" t="s">
        <v>17</v>
      </c>
      <c r="I468" s="1">
        <v>44653</v>
      </c>
      <c r="J468" t="s">
        <v>17</v>
      </c>
      <c r="K468" t="s">
        <v>176</v>
      </c>
      <c r="L468" t="s">
        <v>24</v>
      </c>
    </row>
    <row r="469" spans="1:12" x14ac:dyDescent="0.25">
      <c r="A469" t="s">
        <v>765</v>
      </c>
      <c r="B469" t="s">
        <v>766</v>
      </c>
      <c r="C469" s="3">
        <v>54815</v>
      </c>
      <c r="D469" t="s">
        <v>15</v>
      </c>
      <c r="E469">
        <v>2022</v>
      </c>
      <c r="F469" t="s">
        <v>16</v>
      </c>
      <c r="G469" t="s">
        <v>17</v>
      </c>
      <c r="H469" t="s">
        <v>17</v>
      </c>
      <c r="I469" s="1">
        <v>44653</v>
      </c>
      <c r="J469" t="s">
        <v>17</v>
      </c>
      <c r="K469" t="s">
        <v>137</v>
      </c>
      <c r="L469" t="s">
        <v>24</v>
      </c>
    </row>
    <row r="470" spans="1:12" x14ac:dyDescent="0.25">
      <c r="A470" t="s">
        <v>767</v>
      </c>
      <c r="B470" t="s">
        <v>189</v>
      </c>
      <c r="C470" s="3">
        <v>12184</v>
      </c>
      <c r="D470" t="s">
        <v>27</v>
      </c>
      <c r="E470">
        <v>2022</v>
      </c>
      <c r="F470" t="s">
        <v>16</v>
      </c>
      <c r="G470" t="s">
        <v>17</v>
      </c>
      <c r="H470" t="s">
        <v>17</v>
      </c>
      <c r="I470" s="1">
        <v>44653</v>
      </c>
      <c r="J470" t="s">
        <v>17</v>
      </c>
      <c r="K470" t="s">
        <v>23</v>
      </c>
      <c r="L470" t="s">
        <v>24</v>
      </c>
    </row>
    <row r="471" spans="1:12" hidden="1" x14ac:dyDescent="0.25">
      <c r="A471" t="s">
        <v>768</v>
      </c>
      <c r="B471" t="s">
        <v>77</v>
      </c>
      <c r="C471">
        <v>51093</v>
      </c>
      <c r="D471" t="s">
        <v>15</v>
      </c>
      <c r="E471">
        <v>2022</v>
      </c>
      <c r="F471" t="s">
        <v>16</v>
      </c>
      <c r="G471" t="s">
        <v>17</v>
      </c>
      <c r="H471" t="s">
        <v>17</v>
      </c>
      <c r="I471" s="1">
        <v>44653</v>
      </c>
      <c r="J471" t="s">
        <v>17</v>
      </c>
      <c r="K471" t="s">
        <v>85</v>
      </c>
      <c r="L471" t="s">
        <v>19</v>
      </c>
    </row>
    <row r="472" spans="1:12" hidden="1" x14ac:dyDescent="0.25">
      <c r="A472" t="s">
        <v>768</v>
      </c>
      <c r="B472" t="s">
        <v>77</v>
      </c>
      <c r="C472">
        <v>37763</v>
      </c>
      <c r="D472" t="s">
        <v>15</v>
      </c>
      <c r="E472">
        <v>2022</v>
      </c>
      <c r="F472" t="s">
        <v>16</v>
      </c>
      <c r="G472" t="s">
        <v>17</v>
      </c>
      <c r="H472" t="s">
        <v>17</v>
      </c>
      <c r="I472" s="1">
        <v>44653</v>
      </c>
      <c r="J472" t="s">
        <v>17</v>
      </c>
      <c r="K472" t="s">
        <v>23</v>
      </c>
      <c r="L472" t="s">
        <v>19</v>
      </c>
    </row>
    <row r="473" spans="1:12" x14ac:dyDescent="0.25">
      <c r="A473" t="s">
        <v>769</v>
      </c>
      <c r="B473" t="s">
        <v>770</v>
      </c>
      <c r="C473" s="3">
        <v>34450</v>
      </c>
      <c r="D473" t="s">
        <v>15</v>
      </c>
      <c r="E473">
        <v>2022</v>
      </c>
      <c r="F473" t="s">
        <v>16</v>
      </c>
      <c r="G473" t="s">
        <v>17</v>
      </c>
      <c r="H473" t="s">
        <v>17</v>
      </c>
      <c r="I473" s="1">
        <v>44653</v>
      </c>
      <c r="J473" t="s">
        <v>17</v>
      </c>
      <c r="K473" t="s">
        <v>28</v>
      </c>
      <c r="L473" t="s">
        <v>24</v>
      </c>
    </row>
    <row r="474" spans="1:12" x14ac:dyDescent="0.25">
      <c r="A474" t="s">
        <v>771</v>
      </c>
      <c r="B474" t="s">
        <v>149</v>
      </c>
      <c r="C474" s="3">
        <v>3072</v>
      </c>
      <c r="D474" t="s">
        <v>113</v>
      </c>
      <c r="E474">
        <v>2022</v>
      </c>
      <c r="F474" t="s">
        <v>16</v>
      </c>
      <c r="G474" t="s">
        <v>17</v>
      </c>
      <c r="H474" t="s">
        <v>17</v>
      </c>
      <c r="I474" s="1">
        <v>44653</v>
      </c>
      <c r="J474" t="s">
        <v>17</v>
      </c>
      <c r="K474" t="s">
        <v>137</v>
      </c>
      <c r="L474" t="s">
        <v>71</v>
      </c>
    </row>
    <row r="475" spans="1:12" x14ac:dyDescent="0.25">
      <c r="A475" t="s">
        <v>772</v>
      </c>
      <c r="B475" t="s">
        <v>574</v>
      </c>
      <c r="C475" s="3">
        <v>75467</v>
      </c>
      <c r="D475" t="s">
        <v>27</v>
      </c>
      <c r="E475">
        <v>2022</v>
      </c>
      <c r="F475" t="s">
        <v>16</v>
      </c>
      <c r="G475" t="s">
        <v>17</v>
      </c>
      <c r="H475" t="s">
        <v>17</v>
      </c>
      <c r="I475" s="1">
        <v>44653</v>
      </c>
      <c r="J475" t="s">
        <v>17</v>
      </c>
      <c r="K475" t="s">
        <v>28</v>
      </c>
      <c r="L475" t="s">
        <v>24</v>
      </c>
    </row>
    <row r="476" spans="1:12" x14ac:dyDescent="0.25">
      <c r="A476" t="s">
        <v>773</v>
      </c>
      <c r="B476" t="s">
        <v>508</v>
      </c>
      <c r="C476" s="3">
        <v>75750</v>
      </c>
      <c r="D476" t="s">
        <v>27</v>
      </c>
      <c r="E476">
        <v>2022</v>
      </c>
      <c r="F476" t="s">
        <v>16</v>
      </c>
      <c r="G476" t="s">
        <v>17</v>
      </c>
      <c r="H476" t="s">
        <v>17</v>
      </c>
      <c r="I476" s="1">
        <v>44653</v>
      </c>
      <c r="J476" t="s">
        <v>17</v>
      </c>
      <c r="K476" t="s">
        <v>28</v>
      </c>
      <c r="L476" t="s">
        <v>24</v>
      </c>
    </row>
    <row r="477" spans="1:12" x14ac:dyDescent="0.25">
      <c r="A477" t="s">
        <v>774</v>
      </c>
      <c r="B477" t="s">
        <v>198</v>
      </c>
      <c r="C477" s="3">
        <v>97891</v>
      </c>
      <c r="D477" t="s">
        <v>15</v>
      </c>
      <c r="E477">
        <v>2022</v>
      </c>
      <c r="F477" t="s">
        <v>16</v>
      </c>
      <c r="G477" t="s">
        <v>17</v>
      </c>
      <c r="H477" t="s">
        <v>17</v>
      </c>
      <c r="I477" s="1">
        <v>44653</v>
      </c>
      <c r="J477" t="s">
        <v>17</v>
      </c>
      <c r="K477" t="s">
        <v>60</v>
      </c>
      <c r="L477" t="s">
        <v>71</v>
      </c>
    </row>
    <row r="478" spans="1:12" x14ac:dyDescent="0.25">
      <c r="A478" t="s">
        <v>775</v>
      </c>
      <c r="B478" t="s">
        <v>198</v>
      </c>
      <c r="C478" s="3">
        <v>49643</v>
      </c>
      <c r="D478" t="s">
        <v>15</v>
      </c>
      <c r="E478">
        <v>2022</v>
      </c>
      <c r="F478" t="s">
        <v>16</v>
      </c>
      <c r="G478" t="s">
        <v>17</v>
      </c>
      <c r="H478" t="s">
        <v>17</v>
      </c>
      <c r="I478" s="1">
        <v>44653</v>
      </c>
      <c r="J478" t="s">
        <v>17</v>
      </c>
      <c r="K478" t="s">
        <v>776</v>
      </c>
      <c r="L478" t="s">
        <v>71</v>
      </c>
    </row>
    <row r="479" spans="1:12" x14ac:dyDescent="0.25">
      <c r="A479" t="s">
        <v>777</v>
      </c>
      <c r="B479" t="s">
        <v>778</v>
      </c>
      <c r="C479" s="3">
        <v>76505</v>
      </c>
      <c r="D479" t="s">
        <v>27</v>
      </c>
      <c r="E479">
        <v>2022</v>
      </c>
      <c r="F479" t="s">
        <v>16</v>
      </c>
      <c r="G479" t="s">
        <v>17</v>
      </c>
      <c r="H479" t="s">
        <v>17</v>
      </c>
      <c r="I479" s="1">
        <v>44653</v>
      </c>
      <c r="J479" t="s">
        <v>17</v>
      </c>
      <c r="K479" t="s">
        <v>54</v>
      </c>
      <c r="L479" t="s">
        <v>71</v>
      </c>
    </row>
    <row r="480" spans="1:12" hidden="1" x14ac:dyDescent="0.25">
      <c r="A480" t="s">
        <v>779</v>
      </c>
      <c r="B480" t="s">
        <v>559</v>
      </c>
      <c r="C480">
        <v>77979</v>
      </c>
      <c r="D480" t="s">
        <v>27</v>
      </c>
      <c r="E480">
        <v>2022</v>
      </c>
      <c r="F480" t="s">
        <v>16</v>
      </c>
      <c r="G480" t="s">
        <v>17</v>
      </c>
      <c r="H480" t="s">
        <v>17</v>
      </c>
      <c r="I480" s="1">
        <v>44653</v>
      </c>
      <c r="J480" t="s">
        <v>17</v>
      </c>
      <c r="K480" t="s">
        <v>93</v>
      </c>
      <c r="L480" t="s">
        <v>19</v>
      </c>
    </row>
    <row r="481" spans="1:12" hidden="1" x14ac:dyDescent="0.25">
      <c r="A481" t="s">
        <v>780</v>
      </c>
      <c r="B481" t="s">
        <v>152</v>
      </c>
      <c r="C481">
        <v>94940</v>
      </c>
      <c r="D481" t="s">
        <v>27</v>
      </c>
      <c r="E481">
        <v>2022</v>
      </c>
      <c r="F481" t="s">
        <v>16</v>
      </c>
      <c r="G481" t="s">
        <v>17</v>
      </c>
      <c r="H481" t="s">
        <v>17</v>
      </c>
      <c r="I481" s="1">
        <v>44653</v>
      </c>
      <c r="J481" t="s">
        <v>17</v>
      </c>
      <c r="K481" t="s">
        <v>28</v>
      </c>
      <c r="L481" t="s">
        <v>19</v>
      </c>
    </row>
    <row r="482" spans="1:12" x14ac:dyDescent="0.25">
      <c r="A482" t="s">
        <v>781</v>
      </c>
      <c r="B482" t="s">
        <v>149</v>
      </c>
      <c r="C482" s="3">
        <v>43264</v>
      </c>
      <c r="D482" t="s">
        <v>15</v>
      </c>
      <c r="E482">
        <v>2022</v>
      </c>
      <c r="F482" t="s">
        <v>16</v>
      </c>
      <c r="G482" t="s">
        <v>17</v>
      </c>
      <c r="H482" t="s">
        <v>17</v>
      </c>
      <c r="I482" s="1">
        <v>44653</v>
      </c>
      <c r="J482" t="s">
        <v>17</v>
      </c>
      <c r="K482" t="s">
        <v>23</v>
      </c>
      <c r="L482" t="s">
        <v>31</v>
      </c>
    </row>
    <row r="483" spans="1:12" x14ac:dyDescent="0.25">
      <c r="A483" t="s">
        <v>782</v>
      </c>
      <c r="B483" t="s">
        <v>189</v>
      </c>
      <c r="C483" s="3">
        <v>48797</v>
      </c>
      <c r="D483" t="s">
        <v>15</v>
      </c>
      <c r="E483">
        <v>2022</v>
      </c>
      <c r="F483" t="s">
        <v>16</v>
      </c>
      <c r="G483" t="s">
        <v>17</v>
      </c>
      <c r="H483" t="s">
        <v>17</v>
      </c>
      <c r="I483" s="1">
        <v>44653</v>
      </c>
      <c r="J483" t="s">
        <v>17</v>
      </c>
      <c r="K483" t="s">
        <v>28</v>
      </c>
      <c r="L483" t="s">
        <v>31</v>
      </c>
    </row>
    <row r="484" spans="1:12" x14ac:dyDescent="0.25">
      <c r="A484" t="s">
        <v>783</v>
      </c>
      <c r="B484" t="s">
        <v>33</v>
      </c>
      <c r="C484" s="3">
        <v>35578</v>
      </c>
      <c r="D484" t="s">
        <v>15</v>
      </c>
      <c r="E484">
        <v>2022</v>
      </c>
      <c r="F484" t="s">
        <v>16</v>
      </c>
      <c r="G484" t="s">
        <v>17</v>
      </c>
      <c r="H484" t="s">
        <v>17</v>
      </c>
      <c r="I484" s="1">
        <v>44653</v>
      </c>
      <c r="J484" t="s">
        <v>17</v>
      </c>
      <c r="K484" t="s">
        <v>181</v>
      </c>
      <c r="L484" t="s">
        <v>24</v>
      </c>
    </row>
    <row r="485" spans="1:12" x14ac:dyDescent="0.25">
      <c r="A485" t="s">
        <v>784</v>
      </c>
      <c r="B485" t="s">
        <v>519</v>
      </c>
      <c r="C485" s="3">
        <v>77182</v>
      </c>
      <c r="D485" t="s">
        <v>27</v>
      </c>
      <c r="E485">
        <v>2022</v>
      </c>
      <c r="F485" t="s">
        <v>16</v>
      </c>
      <c r="G485" t="s">
        <v>17</v>
      </c>
      <c r="H485" t="s">
        <v>17</v>
      </c>
      <c r="I485" s="1">
        <v>44653</v>
      </c>
      <c r="J485" t="s">
        <v>17</v>
      </c>
      <c r="K485" t="s">
        <v>23</v>
      </c>
      <c r="L485" t="s">
        <v>24</v>
      </c>
    </row>
    <row r="486" spans="1:12" x14ac:dyDescent="0.25">
      <c r="A486" t="s">
        <v>785</v>
      </c>
      <c r="B486" t="s">
        <v>525</v>
      </c>
      <c r="C486" s="3">
        <v>37069</v>
      </c>
      <c r="D486" t="s">
        <v>15</v>
      </c>
      <c r="E486">
        <v>2022</v>
      </c>
      <c r="F486" t="s">
        <v>16</v>
      </c>
      <c r="G486" t="s">
        <v>17</v>
      </c>
      <c r="H486" t="s">
        <v>17</v>
      </c>
      <c r="I486" s="1">
        <v>44653</v>
      </c>
      <c r="J486" t="s">
        <v>17</v>
      </c>
      <c r="K486" t="s">
        <v>399</v>
      </c>
      <c r="L486" t="s">
        <v>24</v>
      </c>
    </row>
    <row r="487" spans="1:12" x14ac:dyDescent="0.25">
      <c r="A487" t="s">
        <v>785</v>
      </c>
      <c r="B487" t="s">
        <v>254</v>
      </c>
      <c r="C487" s="3">
        <v>52852</v>
      </c>
      <c r="D487" t="s">
        <v>15</v>
      </c>
      <c r="E487">
        <v>2022</v>
      </c>
      <c r="F487" t="s">
        <v>16</v>
      </c>
      <c r="G487" t="s">
        <v>17</v>
      </c>
      <c r="H487" t="s">
        <v>17</v>
      </c>
      <c r="I487" s="1">
        <v>44653</v>
      </c>
      <c r="J487" t="s">
        <v>17</v>
      </c>
      <c r="K487" t="s">
        <v>23</v>
      </c>
      <c r="L487" t="s">
        <v>31</v>
      </c>
    </row>
    <row r="488" spans="1:12" x14ac:dyDescent="0.25">
      <c r="A488" t="s">
        <v>786</v>
      </c>
      <c r="B488" t="s">
        <v>43</v>
      </c>
      <c r="C488" s="3">
        <v>46513</v>
      </c>
      <c r="D488" t="s">
        <v>15</v>
      </c>
      <c r="E488">
        <v>2022</v>
      </c>
      <c r="F488" t="s">
        <v>16</v>
      </c>
      <c r="G488" t="s">
        <v>17</v>
      </c>
      <c r="H488" t="s">
        <v>17</v>
      </c>
      <c r="I488" s="1">
        <v>44653</v>
      </c>
      <c r="J488" t="s">
        <v>17</v>
      </c>
      <c r="K488" t="s">
        <v>104</v>
      </c>
      <c r="L488" t="s">
        <v>31</v>
      </c>
    </row>
    <row r="489" spans="1:12" x14ac:dyDescent="0.25">
      <c r="A489" t="s">
        <v>787</v>
      </c>
      <c r="B489" t="s">
        <v>432</v>
      </c>
      <c r="C489" s="3">
        <v>33772</v>
      </c>
      <c r="D489" t="s">
        <v>15</v>
      </c>
      <c r="E489">
        <v>2022</v>
      </c>
      <c r="F489" t="s">
        <v>16</v>
      </c>
      <c r="G489" t="s">
        <v>17</v>
      </c>
      <c r="H489" t="s">
        <v>17</v>
      </c>
      <c r="I489" s="1">
        <v>44653</v>
      </c>
      <c r="J489" t="s">
        <v>17</v>
      </c>
      <c r="K489" t="s">
        <v>28</v>
      </c>
      <c r="L489" t="s">
        <v>24</v>
      </c>
    </row>
    <row r="490" spans="1:12" x14ac:dyDescent="0.25">
      <c r="A490" t="s">
        <v>788</v>
      </c>
      <c r="B490" t="s">
        <v>789</v>
      </c>
      <c r="C490" s="3">
        <v>36219</v>
      </c>
      <c r="D490" t="s">
        <v>15</v>
      </c>
      <c r="E490">
        <v>2022</v>
      </c>
      <c r="F490" t="s">
        <v>16</v>
      </c>
      <c r="G490" t="s">
        <v>17</v>
      </c>
      <c r="H490" t="s">
        <v>17</v>
      </c>
      <c r="I490" s="1">
        <v>44653</v>
      </c>
      <c r="J490" t="s">
        <v>17</v>
      </c>
      <c r="K490" t="s">
        <v>137</v>
      </c>
      <c r="L490" t="s">
        <v>24</v>
      </c>
    </row>
    <row r="491" spans="1:12" x14ac:dyDescent="0.25">
      <c r="A491" t="s">
        <v>790</v>
      </c>
      <c r="B491" t="s">
        <v>266</v>
      </c>
      <c r="C491" s="3">
        <v>49566</v>
      </c>
      <c r="D491" t="s">
        <v>15</v>
      </c>
      <c r="E491">
        <v>2022</v>
      </c>
      <c r="F491" t="s">
        <v>16</v>
      </c>
      <c r="G491" t="s">
        <v>17</v>
      </c>
      <c r="H491" t="s">
        <v>17</v>
      </c>
      <c r="I491" s="1">
        <v>44653</v>
      </c>
      <c r="J491" t="s">
        <v>17</v>
      </c>
      <c r="K491" t="s">
        <v>28</v>
      </c>
      <c r="L491" t="s">
        <v>71</v>
      </c>
    </row>
    <row r="492" spans="1:12" x14ac:dyDescent="0.25">
      <c r="A492" t="s">
        <v>791</v>
      </c>
      <c r="B492" t="s">
        <v>792</v>
      </c>
      <c r="C492" s="3">
        <v>41806</v>
      </c>
      <c r="D492" t="s">
        <v>15</v>
      </c>
      <c r="E492">
        <v>2022</v>
      </c>
      <c r="F492" t="s">
        <v>16</v>
      </c>
      <c r="G492" t="s">
        <v>17</v>
      </c>
      <c r="H492" t="s">
        <v>17</v>
      </c>
      <c r="I492" s="1">
        <v>44653</v>
      </c>
      <c r="J492" t="s">
        <v>17</v>
      </c>
      <c r="K492" t="s">
        <v>23</v>
      </c>
      <c r="L492" t="s">
        <v>31</v>
      </c>
    </row>
    <row r="493" spans="1:12" hidden="1" x14ac:dyDescent="0.25">
      <c r="A493" t="s">
        <v>793</v>
      </c>
      <c r="B493" t="s">
        <v>258</v>
      </c>
      <c r="C493">
        <v>34476</v>
      </c>
      <c r="D493" t="s">
        <v>15</v>
      </c>
      <c r="E493">
        <v>2022</v>
      </c>
      <c r="F493" t="s">
        <v>16</v>
      </c>
      <c r="G493" t="s">
        <v>17</v>
      </c>
      <c r="H493" t="s">
        <v>17</v>
      </c>
      <c r="I493" s="1">
        <v>44653</v>
      </c>
      <c r="J493" t="s">
        <v>17</v>
      </c>
      <c r="K493" t="s">
        <v>23</v>
      </c>
      <c r="L493" t="s">
        <v>19</v>
      </c>
    </row>
    <row r="494" spans="1:12" hidden="1" x14ac:dyDescent="0.25">
      <c r="A494" t="s">
        <v>794</v>
      </c>
      <c r="B494" t="s">
        <v>277</v>
      </c>
      <c r="C494">
        <v>43142</v>
      </c>
      <c r="D494" t="s">
        <v>15</v>
      </c>
      <c r="E494">
        <v>2022</v>
      </c>
      <c r="F494" t="s">
        <v>16</v>
      </c>
      <c r="G494" t="s">
        <v>17</v>
      </c>
      <c r="H494" t="s">
        <v>17</v>
      </c>
      <c r="I494" s="1">
        <v>44653</v>
      </c>
      <c r="J494" t="s">
        <v>17</v>
      </c>
      <c r="K494" t="s">
        <v>23</v>
      </c>
      <c r="L494" t="s">
        <v>19</v>
      </c>
    </row>
    <row r="495" spans="1:12" x14ac:dyDescent="0.25">
      <c r="A495" t="s">
        <v>795</v>
      </c>
      <c r="B495" t="s">
        <v>796</v>
      </c>
      <c r="C495" s="3">
        <v>41027</v>
      </c>
      <c r="D495" t="s">
        <v>15</v>
      </c>
      <c r="E495">
        <v>2022</v>
      </c>
      <c r="F495" t="s">
        <v>16</v>
      </c>
      <c r="G495" t="s">
        <v>17</v>
      </c>
      <c r="H495" t="s">
        <v>17</v>
      </c>
      <c r="I495" s="1">
        <v>44653</v>
      </c>
      <c r="J495" t="s">
        <v>17</v>
      </c>
      <c r="K495" t="s">
        <v>23</v>
      </c>
      <c r="L495" t="s">
        <v>24</v>
      </c>
    </row>
    <row r="496" spans="1:12" x14ac:dyDescent="0.25">
      <c r="A496" t="s">
        <v>797</v>
      </c>
      <c r="B496" t="s">
        <v>448</v>
      </c>
      <c r="C496" s="3">
        <v>8238</v>
      </c>
      <c r="D496" t="s">
        <v>27</v>
      </c>
      <c r="E496">
        <v>2022</v>
      </c>
      <c r="F496" t="s">
        <v>16</v>
      </c>
      <c r="G496" t="s">
        <v>17</v>
      </c>
      <c r="H496" t="s">
        <v>17</v>
      </c>
      <c r="I496" s="1">
        <v>44653</v>
      </c>
      <c r="J496" t="s">
        <v>17</v>
      </c>
      <c r="K496" t="s">
        <v>23</v>
      </c>
      <c r="L496" t="s">
        <v>24</v>
      </c>
    </row>
    <row r="497" spans="1:12" hidden="1" x14ac:dyDescent="0.25">
      <c r="A497" t="s">
        <v>798</v>
      </c>
      <c r="B497" t="s">
        <v>799</v>
      </c>
      <c r="C497">
        <v>79540</v>
      </c>
      <c r="D497" t="s">
        <v>27</v>
      </c>
      <c r="E497">
        <v>2022</v>
      </c>
      <c r="F497" t="s">
        <v>16</v>
      </c>
      <c r="G497" t="s">
        <v>17</v>
      </c>
      <c r="H497" t="s">
        <v>17</v>
      </c>
      <c r="I497" s="1">
        <v>44653</v>
      </c>
      <c r="J497" t="s">
        <v>17</v>
      </c>
      <c r="K497" t="s">
        <v>23</v>
      </c>
      <c r="L497" t="s">
        <v>19</v>
      </c>
    </row>
    <row r="498" spans="1:12" hidden="1" x14ac:dyDescent="0.25">
      <c r="A498" t="s">
        <v>800</v>
      </c>
      <c r="B498" t="s">
        <v>801</v>
      </c>
      <c r="C498">
        <v>4444</v>
      </c>
      <c r="D498" t="s">
        <v>27</v>
      </c>
      <c r="E498">
        <v>2022</v>
      </c>
      <c r="F498" t="s">
        <v>16</v>
      </c>
      <c r="G498" t="s">
        <v>17</v>
      </c>
      <c r="H498" t="s">
        <v>17</v>
      </c>
      <c r="I498" s="1">
        <v>44653</v>
      </c>
      <c r="J498" t="s">
        <v>17</v>
      </c>
      <c r="K498" t="s">
        <v>85</v>
      </c>
      <c r="L498" t="s">
        <v>19</v>
      </c>
    </row>
    <row r="499" spans="1:12" hidden="1" x14ac:dyDescent="0.25">
      <c r="A499" t="s">
        <v>800</v>
      </c>
      <c r="B499" t="s">
        <v>511</v>
      </c>
      <c r="C499">
        <v>7408</v>
      </c>
      <c r="D499" t="s">
        <v>15</v>
      </c>
      <c r="E499">
        <v>2022</v>
      </c>
      <c r="F499" t="s">
        <v>16</v>
      </c>
      <c r="G499" t="s">
        <v>17</v>
      </c>
      <c r="H499" t="s">
        <v>17</v>
      </c>
      <c r="I499" s="1">
        <v>44653</v>
      </c>
      <c r="J499" t="s">
        <v>17</v>
      </c>
      <c r="K499" t="s">
        <v>181</v>
      </c>
      <c r="L499" t="s">
        <v>19</v>
      </c>
    </row>
    <row r="500" spans="1:12" hidden="1" x14ac:dyDescent="0.25">
      <c r="A500" t="s">
        <v>800</v>
      </c>
      <c r="B500" t="s">
        <v>14</v>
      </c>
      <c r="C500">
        <v>54177</v>
      </c>
      <c r="D500" t="s">
        <v>15</v>
      </c>
      <c r="E500">
        <v>2022</v>
      </c>
      <c r="F500" t="s">
        <v>16</v>
      </c>
      <c r="G500" t="s">
        <v>17</v>
      </c>
      <c r="H500" t="s">
        <v>17</v>
      </c>
      <c r="I500" s="1">
        <v>44653</v>
      </c>
      <c r="J500" t="s">
        <v>17</v>
      </c>
      <c r="K500" t="s">
        <v>28</v>
      </c>
      <c r="L500" t="s">
        <v>19</v>
      </c>
    </row>
    <row r="501" spans="1:12" x14ac:dyDescent="0.25">
      <c r="A501" t="s">
        <v>800</v>
      </c>
      <c r="B501" t="s">
        <v>103</v>
      </c>
      <c r="C501" s="3">
        <v>4658</v>
      </c>
      <c r="D501" t="s">
        <v>27</v>
      </c>
      <c r="E501">
        <v>2022</v>
      </c>
      <c r="F501" t="s">
        <v>16</v>
      </c>
      <c r="G501" t="s">
        <v>17</v>
      </c>
      <c r="H501" t="s">
        <v>17</v>
      </c>
      <c r="I501" s="1">
        <v>44653</v>
      </c>
      <c r="J501" t="s">
        <v>17</v>
      </c>
      <c r="K501" t="s">
        <v>68</v>
      </c>
      <c r="L501" t="s">
        <v>24</v>
      </c>
    </row>
    <row r="502" spans="1:12" hidden="1" x14ac:dyDescent="0.25">
      <c r="A502" t="s">
        <v>800</v>
      </c>
      <c r="B502" t="s">
        <v>43</v>
      </c>
      <c r="C502">
        <v>81001</v>
      </c>
      <c r="D502" t="s">
        <v>27</v>
      </c>
      <c r="E502">
        <v>2022</v>
      </c>
      <c r="F502" t="s">
        <v>16</v>
      </c>
      <c r="G502" t="s">
        <v>17</v>
      </c>
      <c r="H502" t="s">
        <v>17</v>
      </c>
      <c r="I502" s="1">
        <v>44653</v>
      </c>
      <c r="J502" t="s">
        <v>17</v>
      </c>
      <c r="K502" t="s">
        <v>28</v>
      </c>
      <c r="L502" t="s">
        <v>19</v>
      </c>
    </row>
    <row r="503" spans="1:12" x14ac:dyDescent="0.25">
      <c r="A503" t="s">
        <v>800</v>
      </c>
      <c r="B503" t="s">
        <v>308</v>
      </c>
      <c r="C503" s="3">
        <v>37619</v>
      </c>
      <c r="D503" t="s">
        <v>27</v>
      </c>
      <c r="E503">
        <v>2022</v>
      </c>
      <c r="F503" t="s">
        <v>16</v>
      </c>
      <c r="G503" t="s">
        <v>17</v>
      </c>
      <c r="H503" t="s">
        <v>17</v>
      </c>
      <c r="I503" s="1">
        <v>44653</v>
      </c>
      <c r="J503" t="s">
        <v>17</v>
      </c>
      <c r="K503" t="s">
        <v>411</v>
      </c>
      <c r="L503" t="s">
        <v>71</v>
      </c>
    </row>
    <row r="504" spans="1:12" x14ac:dyDescent="0.25">
      <c r="A504" t="s">
        <v>802</v>
      </c>
      <c r="B504" t="s">
        <v>574</v>
      </c>
      <c r="C504" s="3">
        <v>16947</v>
      </c>
      <c r="D504" t="s">
        <v>113</v>
      </c>
      <c r="E504">
        <v>2022</v>
      </c>
      <c r="F504" t="s">
        <v>16</v>
      </c>
      <c r="G504" t="s">
        <v>17</v>
      </c>
      <c r="H504" t="s">
        <v>17</v>
      </c>
      <c r="I504" s="1">
        <v>44653</v>
      </c>
      <c r="J504" t="s">
        <v>17</v>
      </c>
      <c r="K504" t="s">
        <v>150</v>
      </c>
      <c r="L504" t="s">
        <v>24</v>
      </c>
    </row>
    <row r="505" spans="1:12" x14ac:dyDescent="0.25">
      <c r="A505" t="s">
        <v>803</v>
      </c>
      <c r="B505" t="s">
        <v>804</v>
      </c>
      <c r="C505" s="3">
        <v>97636</v>
      </c>
      <c r="D505" t="s">
        <v>15</v>
      </c>
      <c r="E505">
        <v>2022</v>
      </c>
      <c r="F505" t="s">
        <v>16</v>
      </c>
      <c r="G505" t="s">
        <v>17</v>
      </c>
      <c r="H505" t="s">
        <v>17</v>
      </c>
      <c r="I505" s="1">
        <v>44653</v>
      </c>
      <c r="J505" t="s">
        <v>17</v>
      </c>
      <c r="K505" t="s">
        <v>28</v>
      </c>
      <c r="L505" t="s">
        <v>24</v>
      </c>
    </row>
    <row r="506" spans="1:12" x14ac:dyDescent="0.25">
      <c r="A506" t="s">
        <v>803</v>
      </c>
      <c r="B506" t="s">
        <v>351</v>
      </c>
      <c r="C506" s="3">
        <v>25038</v>
      </c>
      <c r="D506" t="s">
        <v>15</v>
      </c>
      <c r="E506">
        <v>2022</v>
      </c>
      <c r="F506" t="s">
        <v>16</v>
      </c>
      <c r="G506" t="s">
        <v>17</v>
      </c>
      <c r="H506" t="s">
        <v>17</v>
      </c>
      <c r="I506" s="1">
        <v>44653</v>
      </c>
      <c r="J506" t="s">
        <v>17</v>
      </c>
      <c r="K506" t="s">
        <v>28</v>
      </c>
      <c r="L506" t="s">
        <v>46</v>
      </c>
    </row>
    <row r="507" spans="1:12" x14ac:dyDescent="0.25">
      <c r="A507" t="s">
        <v>805</v>
      </c>
      <c r="B507" t="s">
        <v>436</v>
      </c>
      <c r="C507" s="3">
        <v>81545</v>
      </c>
      <c r="D507" t="s">
        <v>27</v>
      </c>
      <c r="E507">
        <v>2022</v>
      </c>
      <c r="F507" t="s">
        <v>16</v>
      </c>
      <c r="G507" t="s">
        <v>17</v>
      </c>
      <c r="H507" t="s">
        <v>17</v>
      </c>
      <c r="I507" s="1">
        <v>44653</v>
      </c>
      <c r="J507" t="s">
        <v>17</v>
      </c>
      <c r="K507" t="s">
        <v>28</v>
      </c>
      <c r="L507" t="s">
        <v>24</v>
      </c>
    </row>
    <row r="508" spans="1:12" x14ac:dyDescent="0.25">
      <c r="A508" t="s">
        <v>806</v>
      </c>
      <c r="B508" t="s">
        <v>725</v>
      </c>
      <c r="C508" s="3">
        <v>39437</v>
      </c>
      <c r="D508" t="s">
        <v>15</v>
      </c>
      <c r="E508">
        <v>2022</v>
      </c>
      <c r="F508" t="s">
        <v>16</v>
      </c>
      <c r="G508" t="s">
        <v>17</v>
      </c>
      <c r="H508" t="s">
        <v>17</v>
      </c>
      <c r="I508" s="1">
        <v>44653</v>
      </c>
      <c r="J508" t="s">
        <v>17</v>
      </c>
      <c r="K508" t="s">
        <v>278</v>
      </c>
      <c r="L508" t="s">
        <v>71</v>
      </c>
    </row>
    <row r="509" spans="1:12" x14ac:dyDescent="0.25">
      <c r="A509" t="s">
        <v>807</v>
      </c>
      <c r="B509" t="s">
        <v>95</v>
      </c>
      <c r="C509" s="3">
        <v>36333</v>
      </c>
      <c r="D509" t="s">
        <v>15</v>
      </c>
      <c r="E509">
        <v>2022</v>
      </c>
      <c r="F509" t="s">
        <v>16</v>
      </c>
      <c r="G509" t="s">
        <v>17</v>
      </c>
      <c r="H509" t="s">
        <v>17</v>
      </c>
      <c r="I509" s="1">
        <v>44653</v>
      </c>
      <c r="J509" t="s">
        <v>17</v>
      </c>
      <c r="K509" t="s">
        <v>23</v>
      </c>
      <c r="L509" t="s">
        <v>24</v>
      </c>
    </row>
    <row r="510" spans="1:12" hidden="1" x14ac:dyDescent="0.25">
      <c r="A510" t="s">
        <v>808</v>
      </c>
      <c r="B510" t="s">
        <v>191</v>
      </c>
      <c r="C510">
        <v>33090</v>
      </c>
      <c r="D510" t="s">
        <v>15</v>
      </c>
      <c r="E510">
        <v>2022</v>
      </c>
      <c r="F510" t="s">
        <v>16</v>
      </c>
      <c r="G510" t="s">
        <v>17</v>
      </c>
      <c r="H510" t="s">
        <v>17</v>
      </c>
      <c r="I510" s="1">
        <v>44653</v>
      </c>
      <c r="J510" t="s">
        <v>17</v>
      </c>
      <c r="K510" t="s">
        <v>63</v>
      </c>
      <c r="L510" t="s">
        <v>19</v>
      </c>
    </row>
    <row r="511" spans="1:12" hidden="1" x14ac:dyDescent="0.25">
      <c r="A511" t="s">
        <v>809</v>
      </c>
      <c r="B511" t="s">
        <v>351</v>
      </c>
      <c r="C511">
        <v>55057</v>
      </c>
      <c r="D511" t="s">
        <v>15</v>
      </c>
      <c r="E511">
        <v>2022</v>
      </c>
      <c r="F511" t="s">
        <v>16</v>
      </c>
      <c r="G511" t="s">
        <v>17</v>
      </c>
      <c r="H511" t="s">
        <v>17</v>
      </c>
      <c r="I511" s="1">
        <v>44653</v>
      </c>
      <c r="J511" t="s">
        <v>17</v>
      </c>
      <c r="K511" t="s">
        <v>18</v>
      </c>
      <c r="L511" t="s">
        <v>19</v>
      </c>
    </row>
    <row r="512" spans="1:12" x14ac:dyDescent="0.25">
      <c r="A512" t="s">
        <v>810</v>
      </c>
      <c r="B512" t="s">
        <v>264</v>
      </c>
      <c r="C512" s="3">
        <v>47452</v>
      </c>
      <c r="D512" t="s">
        <v>15</v>
      </c>
      <c r="E512">
        <v>2022</v>
      </c>
      <c r="F512" t="s">
        <v>16</v>
      </c>
      <c r="G512" t="s">
        <v>17</v>
      </c>
      <c r="H512" t="s">
        <v>17</v>
      </c>
      <c r="I512" s="1">
        <v>44653</v>
      </c>
      <c r="J512" t="s">
        <v>17</v>
      </c>
      <c r="K512" t="s">
        <v>23</v>
      </c>
      <c r="L512" t="s">
        <v>24</v>
      </c>
    </row>
    <row r="513" spans="1:12" hidden="1" x14ac:dyDescent="0.25">
      <c r="A513" t="s">
        <v>811</v>
      </c>
      <c r="B513" t="s">
        <v>145</v>
      </c>
      <c r="C513">
        <v>43478</v>
      </c>
      <c r="D513" t="s">
        <v>15</v>
      </c>
      <c r="E513">
        <v>2022</v>
      </c>
      <c r="F513" t="s">
        <v>16</v>
      </c>
      <c r="G513" t="s">
        <v>17</v>
      </c>
      <c r="H513" t="s">
        <v>17</v>
      </c>
      <c r="I513" s="1">
        <v>44653</v>
      </c>
      <c r="J513" t="s">
        <v>17</v>
      </c>
      <c r="K513" t="s">
        <v>54</v>
      </c>
      <c r="L513" t="s">
        <v>19</v>
      </c>
    </row>
    <row r="514" spans="1:12" x14ac:dyDescent="0.25">
      <c r="A514" t="s">
        <v>812</v>
      </c>
      <c r="B514" t="s">
        <v>574</v>
      </c>
      <c r="C514" s="3">
        <v>38739</v>
      </c>
      <c r="D514" t="s">
        <v>15</v>
      </c>
      <c r="E514">
        <v>2022</v>
      </c>
      <c r="F514" t="s">
        <v>16</v>
      </c>
      <c r="G514" t="s">
        <v>17</v>
      </c>
      <c r="H514" t="s">
        <v>17</v>
      </c>
      <c r="I514" s="1">
        <v>44653</v>
      </c>
      <c r="J514" t="s">
        <v>17</v>
      </c>
      <c r="K514" t="s">
        <v>57</v>
      </c>
      <c r="L514" t="s">
        <v>24</v>
      </c>
    </row>
    <row r="515" spans="1:12" hidden="1" x14ac:dyDescent="0.25">
      <c r="A515" t="s">
        <v>813</v>
      </c>
      <c r="B515" t="s">
        <v>814</v>
      </c>
      <c r="C515">
        <v>47172</v>
      </c>
      <c r="D515" t="s">
        <v>15</v>
      </c>
      <c r="E515">
        <v>2022</v>
      </c>
      <c r="F515" t="s">
        <v>16</v>
      </c>
      <c r="G515" t="s">
        <v>17</v>
      </c>
      <c r="H515" t="s">
        <v>17</v>
      </c>
      <c r="I515" s="1">
        <v>44653</v>
      </c>
      <c r="J515" t="s">
        <v>17</v>
      </c>
      <c r="K515" t="s">
        <v>18</v>
      </c>
      <c r="L515" t="s">
        <v>19</v>
      </c>
    </row>
    <row r="516" spans="1:12" x14ac:dyDescent="0.25">
      <c r="A516" t="s">
        <v>815</v>
      </c>
      <c r="B516" t="s">
        <v>432</v>
      </c>
      <c r="C516" s="3">
        <v>35658</v>
      </c>
      <c r="D516" t="s">
        <v>15</v>
      </c>
      <c r="E516">
        <v>2022</v>
      </c>
      <c r="F516" t="s">
        <v>16</v>
      </c>
      <c r="G516" t="s">
        <v>17</v>
      </c>
      <c r="H516" t="s">
        <v>17</v>
      </c>
      <c r="I516" s="1">
        <v>44653</v>
      </c>
      <c r="J516" t="s">
        <v>17</v>
      </c>
      <c r="K516" t="s">
        <v>259</v>
      </c>
      <c r="L516" t="s">
        <v>31</v>
      </c>
    </row>
    <row r="517" spans="1:12" x14ac:dyDescent="0.25">
      <c r="A517" t="s">
        <v>816</v>
      </c>
      <c r="B517" t="s">
        <v>511</v>
      </c>
      <c r="C517" s="3">
        <v>49097</v>
      </c>
      <c r="D517" t="s">
        <v>15</v>
      </c>
      <c r="E517">
        <v>2022</v>
      </c>
      <c r="F517" t="s">
        <v>16</v>
      </c>
      <c r="G517" t="s">
        <v>17</v>
      </c>
      <c r="H517" t="s">
        <v>17</v>
      </c>
      <c r="I517" s="1">
        <v>44653</v>
      </c>
      <c r="J517" t="s">
        <v>17</v>
      </c>
      <c r="K517" t="s">
        <v>259</v>
      </c>
      <c r="L517" t="s">
        <v>46</v>
      </c>
    </row>
    <row r="518" spans="1:12" x14ac:dyDescent="0.25">
      <c r="A518" t="s">
        <v>817</v>
      </c>
      <c r="B518" t="s">
        <v>818</v>
      </c>
      <c r="C518" s="3">
        <v>50707</v>
      </c>
      <c r="D518" t="s">
        <v>15</v>
      </c>
      <c r="E518">
        <v>2022</v>
      </c>
      <c r="F518" t="s">
        <v>16</v>
      </c>
      <c r="G518" t="s">
        <v>17</v>
      </c>
      <c r="H518" t="s">
        <v>17</v>
      </c>
      <c r="I518" s="1">
        <v>44653</v>
      </c>
      <c r="J518" t="s">
        <v>17</v>
      </c>
      <c r="K518" t="s">
        <v>23</v>
      </c>
      <c r="L518" t="s">
        <v>24</v>
      </c>
    </row>
    <row r="519" spans="1:12" x14ac:dyDescent="0.25">
      <c r="A519" t="s">
        <v>819</v>
      </c>
      <c r="B519" t="s">
        <v>519</v>
      </c>
      <c r="C519" s="3">
        <v>491</v>
      </c>
      <c r="D519" t="s">
        <v>27</v>
      </c>
      <c r="E519">
        <v>2022</v>
      </c>
      <c r="F519" t="s">
        <v>16</v>
      </c>
      <c r="G519" t="s">
        <v>17</v>
      </c>
      <c r="H519" t="s">
        <v>17</v>
      </c>
      <c r="I519" s="1">
        <v>44653</v>
      </c>
      <c r="J519" t="s">
        <v>17</v>
      </c>
      <c r="K519" t="s">
        <v>123</v>
      </c>
      <c r="L519" t="s">
        <v>71</v>
      </c>
    </row>
    <row r="520" spans="1:12" x14ac:dyDescent="0.25">
      <c r="A520" t="s">
        <v>820</v>
      </c>
      <c r="B520" t="s">
        <v>213</v>
      </c>
      <c r="C520" s="3">
        <v>6804</v>
      </c>
      <c r="D520" t="s">
        <v>101</v>
      </c>
      <c r="E520">
        <v>2022</v>
      </c>
      <c r="F520" t="s">
        <v>16</v>
      </c>
      <c r="G520" t="s">
        <v>17</v>
      </c>
      <c r="H520" t="s">
        <v>17</v>
      </c>
      <c r="I520" s="1">
        <v>44653</v>
      </c>
      <c r="J520" t="s">
        <v>17</v>
      </c>
      <c r="K520" t="s">
        <v>399</v>
      </c>
      <c r="L520" t="s">
        <v>24</v>
      </c>
    </row>
    <row r="521" spans="1:12" x14ac:dyDescent="0.25">
      <c r="A521" t="s">
        <v>821</v>
      </c>
      <c r="B521" t="s">
        <v>822</v>
      </c>
      <c r="C521" s="3">
        <v>83740</v>
      </c>
      <c r="D521" t="s">
        <v>27</v>
      </c>
      <c r="E521">
        <v>2022</v>
      </c>
      <c r="F521" t="s">
        <v>16</v>
      </c>
      <c r="G521" t="s">
        <v>17</v>
      </c>
      <c r="H521" t="s">
        <v>17</v>
      </c>
      <c r="I521" s="1">
        <v>44653</v>
      </c>
      <c r="J521" t="s">
        <v>17</v>
      </c>
      <c r="K521" t="s">
        <v>823</v>
      </c>
      <c r="L521" t="s">
        <v>71</v>
      </c>
    </row>
    <row r="522" spans="1:12" hidden="1" x14ac:dyDescent="0.25">
      <c r="A522" t="s">
        <v>824</v>
      </c>
      <c r="B522" t="s">
        <v>292</v>
      </c>
      <c r="C522">
        <v>46459</v>
      </c>
      <c r="D522" t="s">
        <v>15</v>
      </c>
      <c r="E522">
        <v>2022</v>
      </c>
      <c r="F522" t="s">
        <v>16</v>
      </c>
      <c r="G522" t="s">
        <v>17</v>
      </c>
      <c r="H522" t="s">
        <v>17</v>
      </c>
      <c r="I522" s="1">
        <v>44653</v>
      </c>
      <c r="J522" t="s">
        <v>17</v>
      </c>
      <c r="K522" t="s">
        <v>123</v>
      </c>
      <c r="L522" t="s">
        <v>19</v>
      </c>
    </row>
    <row r="523" spans="1:12" x14ac:dyDescent="0.25">
      <c r="A523" t="s">
        <v>825</v>
      </c>
      <c r="B523" t="s">
        <v>90</v>
      </c>
      <c r="C523" s="3">
        <v>84157</v>
      </c>
      <c r="D523" t="s">
        <v>27</v>
      </c>
      <c r="E523">
        <v>2022</v>
      </c>
      <c r="F523" t="s">
        <v>16</v>
      </c>
      <c r="G523" t="s">
        <v>17</v>
      </c>
      <c r="H523" t="s">
        <v>17</v>
      </c>
      <c r="I523" s="1">
        <v>44653</v>
      </c>
      <c r="J523" t="s">
        <v>17</v>
      </c>
      <c r="K523" t="s">
        <v>75</v>
      </c>
      <c r="L523" t="s">
        <v>24</v>
      </c>
    </row>
    <row r="524" spans="1:12" x14ac:dyDescent="0.25">
      <c r="A524" t="s">
        <v>826</v>
      </c>
      <c r="B524" t="s">
        <v>827</v>
      </c>
      <c r="C524" s="3">
        <v>42948</v>
      </c>
      <c r="D524" t="s">
        <v>15</v>
      </c>
      <c r="E524">
        <v>2022</v>
      </c>
      <c r="F524" t="s">
        <v>16</v>
      </c>
      <c r="G524" t="s">
        <v>17</v>
      </c>
      <c r="H524" t="s">
        <v>17</v>
      </c>
      <c r="I524" s="1">
        <v>44653</v>
      </c>
      <c r="J524" t="s">
        <v>17</v>
      </c>
      <c r="K524" t="s">
        <v>96</v>
      </c>
      <c r="L524" t="s">
        <v>24</v>
      </c>
    </row>
    <row r="525" spans="1:12" hidden="1" x14ac:dyDescent="0.25">
      <c r="A525" t="s">
        <v>828</v>
      </c>
      <c r="B525" t="s">
        <v>829</v>
      </c>
      <c r="C525">
        <v>30425</v>
      </c>
      <c r="D525" t="s">
        <v>15</v>
      </c>
      <c r="E525">
        <v>2022</v>
      </c>
      <c r="F525" t="s">
        <v>16</v>
      </c>
      <c r="G525" t="s">
        <v>17</v>
      </c>
      <c r="H525" t="s">
        <v>17</v>
      </c>
      <c r="I525" s="1">
        <v>44653</v>
      </c>
      <c r="J525" t="s">
        <v>17</v>
      </c>
      <c r="K525" t="s">
        <v>63</v>
      </c>
      <c r="L525" t="s">
        <v>19</v>
      </c>
    </row>
    <row r="526" spans="1:12" x14ac:dyDescent="0.25">
      <c r="A526" t="s">
        <v>830</v>
      </c>
      <c r="B526" t="s">
        <v>641</v>
      </c>
      <c r="C526" s="3">
        <v>40928</v>
      </c>
      <c r="D526" t="s">
        <v>15</v>
      </c>
      <c r="E526">
        <v>2022</v>
      </c>
      <c r="F526" t="s">
        <v>16</v>
      </c>
      <c r="G526" t="s">
        <v>17</v>
      </c>
      <c r="H526" t="s">
        <v>17</v>
      </c>
      <c r="I526" s="1">
        <v>44653</v>
      </c>
      <c r="J526" t="s">
        <v>17</v>
      </c>
      <c r="K526" t="s">
        <v>220</v>
      </c>
      <c r="L526" t="s">
        <v>31</v>
      </c>
    </row>
    <row r="527" spans="1:12" hidden="1" x14ac:dyDescent="0.25">
      <c r="A527" t="s">
        <v>830</v>
      </c>
      <c r="B527" t="s">
        <v>77</v>
      </c>
      <c r="C527">
        <v>85150</v>
      </c>
      <c r="D527" t="s">
        <v>27</v>
      </c>
      <c r="E527">
        <v>2022</v>
      </c>
      <c r="F527" t="s">
        <v>16</v>
      </c>
      <c r="G527" t="s">
        <v>17</v>
      </c>
      <c r="H527" t="s">
        <v>17</v>
      </c>
      <c r="I527" s="1">
        <v>44653</v>
      </c>
      <c r="J527" t="s">
        <v>17</v>
      </c>
      <c r="K527" t="s">
        <v>68</v>
      </c>
      <c r="L527" t="s">
        <v>19</v>
      </c>
    </row>
    <row r="528" spans="1:12" x14ac:dyDescent="0.25">
      <c r="A528" t="s">
        <v>831</v>
      </c>
      <c r="B528" t="s">
        <v>832</v>
      </c>
      <c r="C528" s="3">
        <v>61282</v>
      </c>
      <c r="D528" t="s">
        <v>15</v>
      </c>
      <c r="E528">
        <v>2022</v>
      </c>
      <c r="F528" t="s">
        <v>16</v>
      </c>
      <c r="G528" t="s">
        <v>17</v>
      </c>
      <c r="H528" t="s">
        <v>17</v>
      </c>
      <c r="I528" s="1">
        <v>44653</v>
      </c>
      <c r="J528" t="s">
        <v>17</v>
      </c>
      <c r="K528" t="s">
        <v>37</v>
      </c>
      <c r="L528" t="s">
        <v>31</v>
      </c>
    </row>
    <row r="529" spans="1:12" hidden="1" x14ac:dyDescent="0.25">
      <c r="A529" t="s">
        <v>833</v>
      </c>
      <c r="B529" t="s">
        <v>834</v>
      </c>
      <c r="C529">
        <v>85463</v>
      </c>
      <c r="D529" t="s">
        <v>27</v>
      </c>
      <c r="E529">
        <v>2022</v>
      </c>
      <c r="F529" t="s">
        <v>16</v>
      </c>
      <c r="G529" t="s">
        <v>17</v>
      </c>
      <c r="H529" t="s">
        <v>17</v>
      </c>
      <c r="I529" s="1">
        <v>44653</v>
      </c>
      <c r="J529" t="s">
        <v>17</v>
      </c>
      <c r="K529" t="s">
        <v>85</v>
      </c>
      <c r="L529" t="s">
        <v>19</v>
      </c>
    </row>
    <row r="530" spans="1:12" x14ac:dyDescent="0.25">
      <c r="A530" t="s">
        <v>835</v>
      </c>
      <c r="B530" t="s">
        <v>103</v>
      </c>
      <c r="C530" s="3">
        <v>40807</v>
      </c>
      <c r="D530" t="s">
        <v>15</v>
      </c>
      <c r="E530">
        <v>2022</v>
      </c>
      <c r="F530" t="s">
        <v>16</v>
      </c>
      <c r="G530" t="s">
        <v>17</v>
      </c>
      <c r="H530" t="s">
        <v>17</v>
      </c>
      <c r="I530" s="1">
        <v>44653</v>
      </c>
      <c r="J530" t="s">
        <v>17</v>
      </c>
      <c r="K530" t="s">
        <v>60</v>
      </c>
      <c r="L530" t="s">
        <v>24</v>
      </c>
    </row>
    <row r="531" spans="1:12" x14ac:dyDescent="0.25">
      <c r="A531" t="s">
        <v>836</v>
      </c>
      <c r="B531" t="s">
        <v>837</v>
      </c>
      <c r="C531" s="3">
        <v>86249</v>
      </c>
      <c r="D531" t="s">
        <v>27</v>
      </c>
      <c r="E531">
        <v>2022</v>
      </c>
      <c r="F531" t="s">
        <v>16</v>
      </c>
      <c r="G531" t="s">
        <v>17</v>
      </c>
      <c r="H531" t="s">
        <v>17</v>
      </c>
      <c r="I531" s="1">
        <v>44653</v>
      </c>
      <c r="J531" t="s">
        <v>17</v>
      </c>
      <c r="K531" t="s">
        <v>28</v>
      </c>
      <c r="L531" t="s">
        <v>71</v>
      </c>
    </row>
    <row r="532" spans="1:12" hidden="1" x14ac:dyDescent="0.25">
      <c r="A532" t="s">
        <v>189</v>
      </c>
      <c r="B532" t="s">
        <v>236</v>
      </c>
      <c r="C532">
        <v>35257</v>
      </c>
      <c r="D532" t="s">
        <v>15</v>
      </c>
      <c r="E532">
        <v>2022</v>
      </c>
      <c r="F532" t="s">
        <v>16</v>
      </c>
      <c r="G532" t="s">
        <v>17</v>
      </c>
      <c r="H532" t="s">
        <v>17</v>
      </c>
      <c r="I532" s="1">
        <v>44653</v>
      </c>
      <c r="J532" t="s">
        <v>17</v>
      </c>
      <c r="K532" t="s">
        <v>18</v>
      </c>
      <c r="L532" t="s">
        <v>19</v>
      </c>
    </row>
    <row r="533" spans="1:12" x14ac:dyDescent="0.25">
      <c r="A533" t="s">
        <v>189</v>
      </c>
      <c r="B533" t="s">
        <v>264</v>
      </c>
      <c r="C533" s="3">
        <v>2934</v>
      </c>
      <c r="D533" t="s">
        <v>27</v>
      </c>
      <c r="E533">
        <v>2022</v>
      </c>
      <c r="F533" t="s">
        <v>16</v>
      </c>
      <c r="G533" t="s">
        <v>17</v>
      </c>
      <c r="H533" t="s">
        <v>17</v>
      </c>
      <c r="I533" s="1">
        <v>44653</v>
      </c>
      <c r="J533" t="s">
        <v>17</v>
      </c>
      <c r="K533" t="s">
        <v>63</v>
      </c>
      <c r="L533" t="s">
        <v>24</v>
      </c>
    </row>
    <row r="534" spans="1:12" hidden="1" x14ac:dyDescent="0.25">
      <c r="A534" t="s">
        <v>838</v>
      </c>
      <c r="B534" t="s">
        <v>77</v>
      </c>
      <c r="C534">
        <v>86975</v>
      </c>
      <c r="D534" t="s">
        <v>27</v>
      </c>
      <c r="E534">
        <v>2022</v>
      </c>
      <c r="F534" t="s">
        <v>16</v>
      </c>
      <c r="G534" t="s">
        <v>17</v>
      </c>
      <c r="H534" t="s">
        <v>17</v>
      </c>
      <c r="I534" s="1">
        <v>44653</v>
      </c>
      <c r="J534" t="s">
        <v>17</v>
      </c>
      <c r="K534" t="s">
        <v>63</v>
      </c>
      <c r="L534" t="s">
        <v>19</v>
      </c>
    </row>
    <row r="535" spans="1:12" hidden="1" x14ac:dyDescent="0.25">
      <c r="A535" t="s">
        <v>839</v>
      </c>
      <c r="B535" t="s">
        <v>258</v>
      </c>
      <c r="C535">
        <v>44637</v>
      </c>
      <c r="D535" t="s">
        <v>15</v>
      </c>
      <c r="E535">
        <v>2022</v>
      </c>
      <c r="F535" t="s">
        <v>16</v>
      </c>
      <c r="G535" t="s">
        <v>17</v>
      </c>
      <c r="H535" t="s">
        <v>17</v>
      </c>
      <c r="I535" s="1">
        <v>44653</v>
      </c>
      <c r="J535" t="s">
        <v>17</v>
      </c>
      <c r="K535" t="s">
        <v>150</v>
      </c>
      <c r="L535" t="s">
        <v>19</v>
      </c>
    </row>
    <row r="536" spans="1:12" x14ac:dyDescent="0.25">
      <c r="A536" t="s">
        <v>840</v>
      </c>
      <c r="B536" t="s">
        <v>95</v>
      </c>
      <c r="C536" s="3">
        <v>15089</v>
      </c>
      <c r="D536" t="s">
        <v>113</v>
      </c>
      <c r="E536">
        <v>2022</v>
      </c>
      <c r="F536" t="s">
        <v>16</v>
      </c>
      <c r="G536" t="s">
        <v>17</v>
      </c>
      <c r="H536" t="s">
        <v>17</v>
      </c>
      <c r="I536" s="1">
        <v>44653</v>
      </c>
      <c r="J536" t="s">
        <v>17</v>
      </c>
      <c r="K536" t="s">
        <v>278</v>
      </c>
      <c r="L536" t="s">
        <v>71</v>
      </c>
    </row>
    <row r="537" spans="1:12" hidden="1" x14ac:dyDescent="0.25">
      <c r="A537" t="s">
        <v>841</v>
      </c>
      <c r="B537" t="s">
        <v>351</v>
      </c>
      <c r="C537">
        <v>87392</v>
      </c>
      <c r="D537" t="s">
        <v>27</v>
      </c>
      <c r="E537">
        <v>2022</v>
      </c>
      <c r="F537" t="s">
        <v>16</v>
      </c>
      <c r="G537" t="s">
        <v>17</v>
      </c>
      <c r="H537" t="s">
        <v>17</v>
      </c>
      <c r="I537" s="1">
        <v>44653</v>
      </c>
      <c r="J537" t="s">
        <v>17</v>
      </c>
      <c r="K537" t="s">
        <v>28</v>
      </c>
      <c r="L537" t="s">
        <v>19</v>
      </c>
    </row>
    <row r="538" spans="1:12" x14ac:dyDescent="0.25">
      <c r="A538" t="s">
        <v>842</v>
      </c>
      <c r="B538" t="s">
        <v>519</v>
      </c>
      <c r="C538" s="3">
        <v>87466</v>
      </c>
      <c r="D538" t="s">
        <v>27</v>
      </c>
      <c r="E538">
        <v>2022</v>
      </c>
      <c r="F538" t="s">
        <v>16</v>
      </c>
      <c r="G538" t="s">
        <v>17</v>
      </c>
      <c r="H538" t="s">
        <v>17</v>
      </c>
      <c r="I538" s="1">
        <v>44653</v>
      </c>
      <c r="J538" t="s">
        <v>17</v>
      </c>
      <c r="K538" t="s">
        <v>137</v>
      </c>
      <c r="L538" t="s">
        <v>24</v>
      </c>
    </row>
    <row r="539" spans="1:12" hidden="1" x14ac:dyDescent="0.25">
      <c r="A539" t="s">
        <v>843</v>
      </c>
      <c r="B539" t="s">
        <v>125</v>
      </c>
      <c r="C539">
        <v>51367</v>
      </c>
      <c r="D539" t="s">
        <v>15</v>
      </c>
      <c r="E539">
        <v>2022</v>
      </c>
      <c r="F539" t="s">
        <v>16</v>
      </c>
      <c r="G539" t="s">
        <v>17</v>
      </c>
      <c r="H539" t="s">
        <v>17</v>
      </c>
      <c r="I539" s="1">
        <v>44653</v>
      </c>
      <c r="J539" t="s">
        <v>17</v>
      </c>
      <c r="K539" t="s">
        <v>54</v>
      </c>
      <c r="L539" t="s">
        <v>19</v>
      </c>
    </row>
    <row r="540" spans="1:12" x14ac:dyDescent="0.25">
      <c r="A540" t="s">
        <v>844</v>
      </c>
      <c r="B540" t="s">
        <v>349</v>
      </c>
      <c r="C540" s="3">
        <v>81901</v>
      </c>
      <c r="D540" t="s">
        <v>15</v>
      </c>
      <c r="E540">
        <v>2022</v>
      </c>
      <c r="F540" t="s">
        <v>16</v>
      </c>
      <c r="G540" t="s">
        <v>17</v>
      </c>
      <c r="H540" t="s">
        <v>17</v>
      </c>
      <c r="I540" s="1">
        <v>44653</v>
      </c>
      <c r="J540" t="s">
        <v>17</v>
      </c>
      <c r="K540" t="s">
        <v>68</v>
      </c>
      <c r="L540" t="s">
        <v>114</v>
      </c>
    </row>
    <row r="541" spans="1:12" x14ac:dyDescent="0.25">
      <c r="A541" t="s">
        <v>844</v>
      </c>
      <c r="B541" t="s">
        <v>88</v>
      </c>
      <c r="C541" s="3">
        <v>35638</v>
      </c>
      <c r="D541" t="s">
        <v>15</v>
      </c>
      <c r="E541">
        <v>2022</v>
      </c>
      <c r="F541" t="s">
        <v>16</v>
      </c>
      <c r="G541" t="s">
        <v>17</v>
      </c>
      <c r="H541" t="s">
        <v>17</v>
      </c>
      <c r="I541" s="1">
        <v>44653</v>
      </c>
      <c r="J541" t="s">
        <v>17</v>
      </c>
      <c r="K541" t="s">
        <v>23</v>
      </c>
      <c r="L541" t="s">
        <v>31</v>
      </c>
    </row>
    <row r="542" spans="1:12" x14ac:dyDescent="0.25">
      <c r="A542" t="s">
        <v>845</v>
      </c>
      <c r="B542" t="s">
        <v>846</v>
      </c>
      <c r="C542" s="3">
        <v>39055</v>
      </c>
      <c r="D542" t="s">
        <v>15</v>
      </c>
      <c r="E542">
        <v>2022</v>
      </c>
      <c r="F542" t="s">
        <v>16</v>
      </c>
      <c r="G542" t="s">
        <v>17</v>
      </c>
      <c r="H542" t="s">
        <v>17</v>
      </c>
      <c r="I542" s="1">
        <v>44653</v>
      </c>
      <c r="J542" t="s">
        <v>17</v>
      </c>
      <c r="K542" t="s">
        <v>104</v>
      </c>
      <c r="L542" t="s">
        <v>71</v>
      </c>
    </row>
    <row r="543" spans="1:12" x14ac:dyDescent="0.25">
      <c r="A543" t="s">
        <v>847</v>
      </c>
      <c r="B543" t="s">
        <v>848</v>
      </c>
      <c r="C543" s="3">
        <v>25259</v>
      </c>
      <c r="D543" t="s">
        <v>15</v>
      </c>
      <c r="E543">
        <v>2022</v>
      </c>
      <c r="F543" t="s">
        <v>16</v>
      </c>
      <c r="G543" t="s">
        <v>17</v>
      </c>
      <c r="H543" t="s">
        <v>17</v>
      </c>
      <c r="I543" s="1">
        <v>44653</v>
      </c>
      <c r="J543" t="s">
        <v>17</v>
      </c>
      <c r="K543" t="s">
        <v>23</v>
      </c>
      <c r="L543" t="s">
        <v>71</v>
      </c>
    </row>
    <row r="544" spans="1:12" x14ac:dyDescent="0.25">
      <c r="A544" t="s">
        <v>849</v>
      </c>
      <c r="B544" t="s">
        <v>850</v>
      </c>
      <c r="C544" s="3">
        <v>37879</v>
      </c>
      <c r="D544" t="s">
        <v>15</v>
      </c>
      <c r="E544">
        <v>2022</v>
      </c>
      <c r="F544" t="s">
        <v>16</v>
      </c>
      <c r="G544" t="s">
        <v>17</v>
      </c>
      <c r="H544" t="s">
        <v>17</v>
      </c>
      <c r="I544" s="1">
        <v>44653</v>
      </c>
      <c r="J544" t="s">
        <v>17</v>
      </c>
      <c r="K544" t="s">
        <v>23</v>
      </c>
      <c r="L544" t="s">
        <v>393</v>
      </c>
    </row>
    <row r="545" spans="1:12" x14ac:dyDescent="0.25">
      <c r="A545" t="s">
        <v>851</v>
      </c>
      <c r="B545" t="s">
        <v>489</v>
      </c>
      <c r="C545" s="3">
        <v>88097</v>
      </c>
      <c r="D545" t="s">
        <v>27</v>
      </c>
      <c r="E545">
        <v>2022</v>
      </c>
      <c r="F545" t="s">
        <v>16</v>
      </c>
      <c r="G545" t="s">
        <v>17</v>
      </c>
      <c r="H545" t="s">
        <v>17</v>
      </c>
      <c r="I545" s="1">
        <v>44653</v>
      </c>
      <c r="J545" t="s">
        <v>17</v>
      </c>
      <c r="K545" t="s">
        <v>23</v>
      </c>
      <c r="L545" t="s">
        <v>46</v>
      </c>
    </row>
    <row r="546" spans="1:12" hidden="1" x14ac:dyDescent="0.25">
      <c r="A546" t="s">
        <v>852</v>
      </c>
      <c r="B546" t="s">
        <v>853</v>
      </c>
      <c r="C546">
        <v>60963</v>
      </c>
      <c r="D546" t="s">
        <v>15</v>
      </c>
      <c r="E546">
        <v>2022</v>
      </c>
      <c r="F546" t="s">
        <v>16</v>
      </c>
      <c r="G546" t="s">
        <v>17</v>
      </c>
      <c r="H546" t="s">
        <v>17</v>
      </c>
      <c r="I546" s="1">
        <v>44653</v>
      </c>
      <c r="J546" t="s">
        <v>17</v>
      </c>
      <c r="K546" t="s">
        <v>854</v>
      </c>
      <c r="L546" t="s">
        <v>19</v>
      </c>
    </row>
    <row r="547" spans="1:12" x14ac:dyDescent="0.25">
      <c r="A547" t="s">
        <v>855</v>
      </c>
      <c r="B547" t="s">
        <v>125</v>
      </c>
      <c r="C547" s="3">
        <v>23768</v>
      </c>
      <c r="D547" t="s">
        <v>27</v>
      </c>
      <c r="E547">
        <v>2022</v>
      </c>
      <c r="F547" t="s">
        <v>16</v>
      </c>
      <c r="G547" t="s">
        <v>17</v>
      </c>
      <c r="H547" t="s">
        <v>17</v>
      </c>
      <c r="I547" s="1">
        <v>44653</v>
      </c>
      <c r="J547" t="s">
        <v>17</v>
      </c>
      <c r="K547" t="s">
        <v>856</v>
      </c>
      <c r="L547" t="s">
        <v>71</v>
      </c>
    </row>
    <row r="548" spans="1:12" hidden="1" x14ac:dyDescent="0.25">
      <c r="A548" t="s">
        <v>857</v>
      </c>
      <c r="B548" t="s">
        <v>858</v>
      </c>
      <c r="C548">
        <v>36893</v>
      </c>
      <c r="D548" t="s">
        <v>15</v>
      </c>
      <c r="E548">
        <v>2022</v>
      </c>
      <c r="F548" t="s">
        <v>16</v>
      </c>
      <c r="G548" t="s">
        <v>17</v>
      </c>
      <c r="H548" t="s">
        <v>17</v>
      </c>
      <c r="I548" s="1">
        <v>44653</v>
      </c>
      <c r="J548" t="s">
        <v>17</v>
      </c>
      <c r="K548" t="s">
        <v>104</v>
      </c>
      <c r="L548" t="s">
        <v>19</v>
      </c>
    </row>
    <row r="549" spans="1:12" hidden="1" x14ac:dyDescent="0.25">
      <c r="A549" t="s">
        <v>859</v>
      </c>
      <c r="B549" t="s">
        <v>860</v>
      </c>
      <c r="C549">
        <v>29033</v>
      </c>
      <c r="D549" t="s">
        <v>15</v>
      </c>
      <c r="E549">
        <v>2022</v>
      </c>
      <c r="F549" t="s">
        <v>16</v>
      </c>
      <c r="G549" t="s">
        <v>17</v>
      </c>
      <c r="H549" t="s">
        <v>17</v>
      </c>
      <c r="I549" s="1">
        <v>44653</v>
      </c>
      <c r="J549" t="s">
        <v>17</v>
      </c>
      <c r="K549" t="s">
        <v>78</v>
      </c>
      <c r="L549" t="s">
        <v>19</v>
      </c>
    </row>
    <row r="550" spans="1:12" x14ac:dyDescent="0.25">
      <c r="A550" t="s">
        <v>861</v>
      </c>
      <c r="B550" t="s">
        <v>862</v>
      </c>
      <c r="C550" s="3">
        <v>97503</v>
      </c>
      <c r="D550" t="s">
        <v>15</v>
      </c>
      <c r="E550">
        <v>2022</v>
      </c>
      <c r="F550" t="s">
        <v>16</v>
      </c>
      <c r="G550" t="s">
        <v>17</v>
      </c>
      <c r="H550" t="s">
        <v>17</v>
      </c>
      <c r="I550" s="1">
        <v>44653</v>
      </c>
      <c r="J550" t="s">
        <v>17</v>
      </c>
      <c r="K550" t="s">
        <v>23</v>
      </c>
      <c r="L550" t="s">
        <v>393</v>
      </c>
    </row>
    <row r="551" spans="1:12" x14ac:dyDescent="0.25">
      <c r="A551" t="s">
        <v>863</v>
      </c>
      <c r="B551" t="s">
        <v>316</v>
      </c>
      <c r="C551" s="3">
        <v>88623</v>
      </c>
      <c r="D551" t="s">
        <v>100</v>
      </c>
      <c r="E551">
        <v>2022</v>
      </c>
      <c r="F551" t="s">
        <v>16</v>
      </c>
      <c r="G551" t="s">
        <v>17</v>
      </c>
      <c r="H551" t="s">
        <v>17</v>
      </c>
      <c r="I551" s="1">
        <v>44653</v>
      </c>
      <c r="J551" t="s">
        <v>17</v>
      </c>
      <c r="K551" t="s">
        <v>278</v>
      </c>
      <c r="L551" t="s">
        <v>71</v>
      </c>
    </row>
    <row r="552" spans="1:12" x14ac:dyDescent="0.25">
      <c r="A552" t="s">
        <v>864</v>
      </c>
      <c r="B552" t="s">
        <v>865</v>
      </c>
      <c r="C552" s="3">
        <v>88700</v>
      </c>
      <c r="D552" t="s">
        <v>27</v>
      </c>
      <c r="E552">
        <v>2022</v>
      </c>
      <c r="F552" t="s">
        <v>16</v>
      </c>
      <c r="G552" t="s">
        <v>17</v>
      </c>
      <c r="H552" t="s">
        <v>17</v>
      </c>
      <c r="I552" s="1">
        <v>44653</v>
      </c>
      <c r="J552" t="s">
        <v>17</v>
      </c>
      <c r="K552" t="s">
        <v>150</v>
      </c>
      <c r="L552" t="s">
        <v>24</v>
      </c>
    </row>
    <row r="553" spans="1:12" x14ac:dyDescent="0.25">
      <c r="A553" t="s">
        <v>866</v>
      </c>
      <c r="B553" t="s">
        <v>74</v>
      </c>
      <c r="C553" s="3">
        <v>49810</v>
      </c>
      <c r="D553" t="s">
        <v>15</v>
      </c>
      <c r="E553">
        <v>2022</v>
      </c>
      <c r="F553" t="s">
        <v>16</v>
      </c>
      <c r="G553" t="s">
        <v>17</v>
      </c>
      <c r="H553" t="s">
        <v>17</v>
      </c>
      <c r="I553" s="1">
        <v>44653</v>
      </c>
      <c r="J553" t="s">
        <v>17</v>
      </c>
      <c r="K553" t="s">
        <v>85</v>
      </c>
      <c r="L553" t="s">
        <v>71</v>
      </c>
    </row>
    <row r="554" spans="1:12" hidden="1" x14ac:dyDescent="0.25">
      <c r="A554" t="s">
        <v>867</v>
      </c>
      <c r="B554" t="s">
        <v>799</v>
      </c>
      <c r="C554">
        <v>36089</v>
      </c>
      <c r="D554" t="s">
        <v>15</v>
      </c>
      <c r="E554">
        <v>2022</v>
      </c>
      <c r="F554" t="s">
        <v>16</v>
      </c>
      <c r="G554" t="s">
        <v>17</v>
      </c>
      <c r="H554" t="s">
        <v>17</v>
      </c>
      <c r="I554" s="1">
        <v>44653</v>
      </c>
      <c r="J554" t="s">
        <v>17</v>
      </c>
      <c r="K554" t="s">
        <v>28</v>
      </c>
      <c r="L554" t="s">
        <v>19</v>
      </c>
    </row>
    <row r="555" spans="1:12" x14ac:dyDescent="0.25">
      <c r="A555" t="s">
        <v>868</v>
      </c>
      <c r="B555" t="s">
        <v>869</v>
      </c>
      <c r="C555" s="3">
        <v>41474</v>
      </c>
      <c r="D555" t="s">
        <v>15</v>
      </c>
      <c r="E555">
        <v>2022</v>
      </c>
      <c r="F555" t="s">
        <v>16</v>
      </c>
      <c r="G555" t="s">
        <v>17</v>
      </c>
      <c r="H555" t="s">
        <v>17</v>
      </c>
      <c r="I555" s="1">
        <v>44653</v>
      </c>
      <c r="J555" t="s">
        <v>17</v>
      </c>
      <c r="K555" t="s">
        <v>23</v>
      </c>
      <c r="L555" t="s">
        <v>24</v>
      </c>
    </row>
    <row r="556" spans="1:12" x14ac:dyDescent="0.25">
      <c r="A556" t="s">
        <v>870</v>
      </c>
      <c r="B556" t="s">
        <v>871</v>
      </c>
      <c r="C556" s="3">
        <v>16621</v>
      </c>
      <c r="D556" t="s">
        <v>15</v>
      </c>
      <c r="E556">
        <v>2022</v>
      </c>
      <c r="F556" t="s">
        <v>16</v>
      </c>
      <c r="G556" t="s">
        <v>17</v>
      </c>
      <c r="H556" t="s">
        <v>17</v>
      </c>
      <c r="I556" s="1">
        <v>44653</v>
      </c>
      <c r="J556" t="s">
        <v>17</v>
      </c>
      <c r="K556" t="s">
        <v>286</v>
      </c>
      <c r="L556" t="s">
        <v>31</v>
      </c>
    </row>
    <row r="557" spans="1:12" x14ac:dyDescent="0.25">
      <c r="A557" t="s">
        <v>872</v>
      </c>
      <c r="B557" t="s">
        <v>74</v>
      </c>
      <c r="C557" s="3">
        <v>89643</v>
      </c>
      <c r="D557" t="s">
        <v>27</v>
      </c>
      <c r="E557">
        <v>2022</v>
      </c>
      <c r="F557" t="s">
        <v>16</v>
      </c>
      <c r="G557" t="s">
        <v>17</v>
      </c>
      <c r="H557" t="s">
        <v>17</v>
      </c>
      <c r="I557" s="1">
        <v>44653</v>
      </c>
      <c r="J557" t="s">
        <v>17</v>
      </c>
      <c r="K557" t="s">
        <v>873</v>
      </c>
      <c r="L557" t="s">
        <v>71</v>
      </c>
    </row>
    <row r="558" spans="1:12" x14ac:dyDescent="0.25">
      <c r="A558" t="s">
        <v>874</v>
      </c>
      <c r="B558" t="s">
        <v>746</v>
      </c>
      <c r="C558" s="3">
        <v>99656</v>
      </c>
      <c r="D558" t="s">
        <v>336</v>
      </c>
      <c r="E558">
        <v>2022</v>
      </c>
      <c r="F558" t="s">
        <v>16</v>
      </c>
      <c r="G558" t="s">
        <v>17</v>
      </c>
      <c r="H558" t="s">
        <v>17</v>
      </c>
      <c r="I558" s="1">
        <v>44653</v>
      </c>
      <c r="J558" t="s">
        <v>17</v>
      </c>
      <c r="K558" t="s">
        <v>181</v>
      </c>
      <c r="L558" t="s">
        <v>24</v>
      </c>
    </row>
    <row r="559" spans="1:12" x14ac:dyDescent="0.25">
      <c r="A559" t="s">
        <v>875</v>
      </c>
      <c r="B559" t="s">
        <v>876</v>
      </c>
      <c r="C559" s="3">
        <v>52763</v>
      </c>
      <c r="D559" t="s">
        <v>15</v>
      </c>
      <c r="E559">
        <v>2022</v>
      </c>
      <c r="F559" t="s">
        <v>16</v>
      </c>
      <c r="G559" t="s">
        <v>17</v>
      </c>
      <c r="H559" t="s">
        <v>17</v>
      </c>
      <c r="I559" s="1">
        <v>44653</v>
      </c>
      <c r="J559" t="s">
        <v>17</v>
      </c>
      <c r="K559" t="s">
        <v>23</v>
      </c>
      <c r="L559" t="s">
        <v>24</v>
      </c>
    </row>
    <row r="560" spans="1:12" hidden="1" x14ac:dyDescent="0.25">
      <c r="A560" t="s">
        <v>877</v>
      </c>
      <c r="B560" t="s">
        <v>590</v>
      </c>
      <c r="C560">
        <v>62014</v>
      </c>
      <c r="D560" t="s">
        <v>15</v>
      </c>
      <c r="E560">
        <v>2022</v>
      </c>
      <c r="F560" t="s">
        <v>16</v>
      </c>
      <c r="G560" t="s">
        <v>17</v>
      </c>
      <c r="H560" t="s">
        <v>17</v>
      </c>
      <c r="I560" s="1">
        <v>44653</v>
      </c>
      <c r="J560" t="s">
        <v>17</v>
      </c>
      <c r="K560" t="s">
        <v>472</v>
      </c>
      <c r="L560" t="s">
        <v>19</v>
      </c>
    </row>
    <row r="561" spans="1:12" hidden="1" x14ac:dyDescent="0.25">
      <c r="A561" t="s">
        <v>878</v>
      </c>
      <c r="B561" t="s">
        <v>266</v>
      </c>
      <c r="C561">
        <v>25918</v>
      </c>
      <c r="D561" t="s">
        <v>15</v>
      </c>
      <c r="E561">
        <v>2022</v>
      </c>
      <c r="F561" t="s">
        <v>16</v>
      </c>
      <c r="G561" t="s">
        <v>17</v>
      </c>
      <c r="H561" t="s">
        <v>17</v>
      </c>
      <c r="I561" s="1">
        <v>44653</v>
      </c>
      <c r="J561" t="s">
        <v>17</v>
      </c>
      <c r="K561" t="s">
        <v>879</v>
      </c>
      <c r="L561" t="s">
        <v>19</v>
      </c>
    </row>
    <row r="562" spans="1:12" x14ac:dyDescent="0.25">
      <c r="A562" t="s">
        <v>880</v>
      </c>
      <c r="B562" t="s">
        <v>53</v>
      </c>
      <c r="C562" s="3">
        <v>53066</v>
      </c>
      <c r="D562" t="s">
        <v>113</v>
      </c>
      <c r="E562">
        <v>2022</v>
      </c>
      <c r="F562" t="s">
        <v>16</v>
      </c>
      <c r="G562" t="s">
        <v>17</v>
      </c>
      <c r="H562" t="s">
        <v>17</v>
      </c>
      <c r="I562" s="1">
        <v>44653</v>
      </c>
      <c r="J562" t="s">
        <v>17</v>
      </c>
      <c r="K562" t="s">
        <v>85</v>
      </c>
      <c r="L562" t="s">
        <v>24</v>
      </c>
    </row>
    <row r="563" spans="1:12" x14ac:dyDescent="0.25">
      <c r="A563" t="s">
        <v>881</v>
      </c>
      <c r="B563" t="s">
        <v>882</v>
      </c>
      <c r="C563" s="3">
        <v>54356</v>
      </c>
      <c r="D563" t="s">
        <v>15</v>
      </c>
      <c r="E563">
        <v>2022</v>
      </c>
      <c r="F563" t="s">
        <v>16</v>
      </c>
      <c r="G563" t="s">
        <v>17</v>
      </c>
      <c r="H563" t="s">
        <v>17</v>
      </c>
      <c r="I563" s="1">
        <v>44653</v>
      </c>
      <c r="J563" t="s">
        <v>17</v>
      </c>
      <c r="K563" t="s">
        <v>23</v>
      </c>
      <c r="L563" t="s">
        <v>71</v>
      </c>
    </row>
    <row r="564" spans="1:12" hidden="1" x14ac:dyDescent="0.25">
      <c r="A564" t="s">
        <v>883</v>
      </c>
      <c r="B564" t="s">
        <v>581</v>
      </c>
      <c r="C564">
        <v>22198</v>
      </c>
      <c r="D564" t="s">
        <v>362</v>
      </c>
      <c r="E564">
        <v>2022</v>
      </c>
      <c r="F564" t="s">
        <v>16</v>
      </c>
      <c r="G564" t="s">
        <v>17</v>
      </c>
      <c r="H564" t="s">
        <v>17</v>
      </c>
      <c r="I564" s="1">
        <v>44653</v>
      </c>
      <c r="J564" t="s">
        <v>17</v>
      </c>
      <c r="K564" t="s">
        <v>51</v>
      </c>
      <c r="L564" t="s">
        <v>19</v>
      </c>
    </row>
    <row r="565" spans="1:12" x14ac:dyDescent="0.25">
      <c r="A565" t="s">
        <v>884</v>
      </c>
      <c r="B565" t="s">
        <v>777</v>
      </c>
      <c r="C565" s="3">
        <v>32579</v>
      </c>
      <c r="D565" t="s">
        <v>15</v>
      </c>
      <c r="E565">
        <v>2022</v>
      </c>
      <c r="F565" t="s">
        <v>16</v>
      </c>
      <c r="G565" t="s">
        <v>17</v>
      </c>
      <c r="H565" t="s">
        <v>17</v>
      </c>
      <c r="I565" s="1">
        <v>44653</v>
      </c>
      <c r="J565" t="s">
        <v>17</v>
      </c>
      <c r="K565" t="s">
        <v>78</v>
      </c>
      <c r="L565" t="s">
        <v>24</v>
      </c>
    </row>
    <row r="566" spans="1:12" hidden="1" x14ac:dyDescent="0.25">
      <c r="A566" t="s">
        <v>885</v>
      </c>
      <c r="B566" t="s">
        <v>77</v>
      </c>
      <c r="C566">
        <v>32789</v>
      </c>
      <c r="D566" t="s">
        <v>15</v>
      </c>
      <c r="E566">
        <v>2022</v>
      </c>
      <c r="F566" t="s">
        <v>16</v>
      </c>
      <c r="G566" t="s">
        <v>17</v>
      </c>
      <c r="H566" t="s">
        <v>17</v>
      </c>
      <c r="I566" s="1">
        <v>44653</v>
      </c>
      <c r="J566" t="s">
        <v>17</v>
      </c>
      <c r="K566" t="s">
        <v>28</v>
      </c>
      <c r="L566" t="s">
        <v>19</v>
      </c>
    </row>
    <row r="567" spans="1:12" x14ac:dyDescent="0.25">
      <c r="A567" t="s">
        <v>886</v>
      </c>
      <c r="B567" t="s">
        <v>887</v>
      </c>
      <c r="C567" s="3">
        <v>92422</v>
      </c>
      <c r="D567" t="s">
        <v>27</v>
      </c>
      <c r="E567">
        <v>2022</v>
      </c>
      <c r="F567" t="s">
        <v>16</v>
      </c>
      <c r="G567" t="s">
        <v>17</v>
      </c>
      <c r="H567" t="s">
        <v>17</v>
      </c>
      <c r="I567" s="1">
        <v>44653</v>
      </c>
      <c r="J567" t="s">
        <v>17</v>
      </c>
      <c r="K567" t="s">
        <v>104</v>
      </c>
      <c r="L567" t="s">
        <v>71</v>
      </c>
    </row>
    <row r="568" spans="1:12" x14ac:dyDescent="0.25">
      <c r="A568" t="s">
        <v>888</v>
      </c>
      <c r="B568" t="s">
        <v>889</v>
      </c>
      <c r="C568" s="3">
        <v>25351</v>
      </c>
      <c r="D568" t="s">
        <v>15</v>
      </c>
      <c r="E568">
        <v>2022</v>
      </c>
      <c r="F568" t="s">
        <v>16</v>
      </c>
      <c r="G568" t="s">
        <v>17</v>
      </c>
      <c r="H568" t="s">
        <v>17</v>
      </c>
      <c r="I568" s="1">
        <v>44653</v>
      </c>
      <c r="J568" t="s">
        <v>17</v>
      </c>
      <c r="K568" t="s">
        <v>28</v>
      </c>
      <c r="L568" t="s">
        <v>31</v>
      </c>
    </row>
    <row r="569" spans="1:12" x14ac:dyDescent="0.25">
      <c r="A569" t="s">
        <v>890</v>
      </c>
      <c r="B569" t="s">
        <v>522</v>
      </c>
      <c r="C569" s="3">
        <v>47284</v>
      </c>
      <c r="D569" t="s">
        <v>15</v>
      </c>
      <c r="E569">
        <v>2022</v>
      </c>
      <c r="F569" t="s">
        <v>16</v>
      </c>
      <c r="G569" t="s">
        <v>17</v>
      </c>
      <c r="H569" t="s">
        <v>17</v>
      </c>
      <c r="I569" s="1">
        <v>44653</v>
      </c>
      <c r="J569" t="s">
        <v>17</v>
      </c>
      <c r="K569" t="s">
        <v>34</v>
      </c>
      <c r="L569" t="s">
        <v>24</v>
      </c>
    </row>
    <row r="570" spans="1:12" x14ac:dyDescent="0.25">
      <c r="A570" t="s">
        <v>890</v>
      </c>
      <c r="B570" t="s">
        <v>436</v>
      </c>
      <c r="C570" s="3">
        <v>93457</v>
      </c>
      <c r="D570" t="s">
        <v>27</v>
      </c>
      <c r="E570">
        <v>2022</v>
      </c>
      <c r="F570" t="s">
        <v>16</v>
      </c>
      <c r="G570" t="s">
        <v>17</v>
      </c>
      <c r="H570" t="s">
        <v>17</v>
      </c>
      <c r="I570" s="1">
        <v>44653</v>
      </c>
      <c r="J570" t="s">
        <v>17</v>
      </c>
      <c r="K570" t="s">
        <v>123</v>
      </c>
      <c r="L570" t="s">
        <v>71</v>
      </c>
    </row>
    <row r="571" spans="1:12" hidden="1" x14ac:dyDescent="0.25">
      <c r="A571" t="s">
        <v>891</v>
      </c>
      <c r="B571" t="s">
        <v>264</v>
      </c>
      <c r="C571">
        <v>93691</v>
      </c>
      <c r="D571" t="s">
        <v>27</v>
      </c>
      <c r="E571">
        <v>2022</v>
      </c>
      <c r="F571" t="s">
        <v>16</v>
      </c>
      <c r="G571" t="s">
        <v>17</v>
      </c>
      <c r="H571" t="s">
        <v>17</v>
      </c>
      <c r="I571" s="1">
        <v>44653</v>
      </c>
      <c r="J571" t="s">
        <v>17</v>
      </c>
      <c r="K571" t="s">
        <v>68</v>
      </c>
      <c r="L571" t="s">
        <v>19</v>
      </c>
    </row>
    <row r="572" spans="1:12" hidden="1" x14ac:dyDescent="0.25">
      <c r="A572" t="s">
        <v>892</v>
      </c>
      <c r="B572" t="s">
        <v>893</v>
      </c>
      <c r="C572">
        <v>34470</v>
      </c>
      <c r="D572" t="s">
        <v>15</v>
      </c>
      <c r="E572">
        <v>2022</v>
      </c>
      <c r="F572" t="s">
        <v>16</v>
      </c>
      <c r="G572" t="s">
        <v>17</v>
      </c>
      <c r="H572" t="s">
        <v>17</v>
      </c>
      <c r="I572" s="1">
        <v>44653</v>
      </c>
      <c r="J572" t="s">
        <v>17</v>
      </c>
      <c r="K572" t="s">
        <v>23</v>
      </c>
      <c r="L572" t="s">
        <v>19</v>
      </c>
    </row>
    <row r="573" spans="1:12" x14ac:dyDescent="0.25">
      <c r="A573" t="s">
        <v>894</v>
      </c>
      <c r="B573" t="s">
        <v>74</v>
      </c>
      <c r="C573" s="3">
        <v>38907</v>
      </c>
      <c r="D573" t="s">
        <v>15</v>
      </c>
      <c r="E573">
        <v>2022</v>
      </c>
      <c r="F573" t="s">
        <v>16</v>
      </c>
      <c r="G573" t="s">
        <v>17</v>
      </c>
      <c r="H573" t="s">
        <v>17</v>
      </c>
      <c r="I573" s="1">
        <v>44653</v>
      </c>
      <c r="J573" t="s">
        <v>17</v>
      </c>
      <c r="K573" t="s">
        <v>472</v>
      </c>
      <c r="L573" t="s">
        <v>24</v>
      </c>
    </row>
    <row r="574" spans="1:12" x14ac:dyDescent="0.25">
      <c r="A574" t="s">
        <v>62</v>
      </c>
      <c r="B574" t="s">
        <v>106</v>
      </c>
      <c r="C574" s="3">
        <v>33875</v>
      </c>
      <c r="D574" t="s">
        <v>15</v>
      </c>
      <c r="E574">
        <v>2022</v>
      </c>
      <c r="F574" t="s">
        <v>16</v>
      </c>
      <c r="G574" t="s">
        <v>17</v>
      </c>
      <c r="H574" t="s">
        <v>17</v>
      </c>
      <c r="I574" s="1">
        <v>44653</v>
      </c>
      <c r="J574" t="s">
        <v>17</v>
      </c>
      <c r="K574" t="s">
        <v>63</v>
      </c>
      <c r="L574" t="s">
        <v>71</v>
      </c>
    </row>
    <row r="575" spans="1:12" x14ac:dyDescent="0.25">
      <c r="A575" t="s">
        <v>895</v>
      </c>
      <c r="B575" t="s">
        <v>896</v>
      </c>
      <c r="C575" s="3">
        <v>94567</v>
      </c>
      <c r="D575" t="s">
        <v>27</v>
      </c>
      <c r="E575">
        <v>2022</v>
      </c>
      <c r="F575" t="s">
        <v>16</v>
      </c>
      <c r="G575" t="s">
        <v>17</v>
      </c>
      <c r="H575" t="s">
        <v>17</v>
      </c>
      <c r="I575" s="1">
        <v>44653</v>
      </c>
      <c r="J575" t="s">
        <v>17</v>
      </c>
      <c r="K575" t="s">
        <v>23</v>
      </c>
      <c r="L575" t="s">
        <v>393</v>
      </c>
    </row>
    <row r="576" spans="1:12" x14ac:dyDescent="0.25">
      <c r="A576" t="s">
        <v>897</v>
      </c>
      <c r="B576" t="s">
        <v>898</v>
      </c>
      <c r="C576" s="3">
        <v>27553</v>
      </c>
      <c r="D576" t="s">
        <v>15</v>
      </c>
      <c r="E576">
        <v>2022</v>
      </c>
      <c r="F576" t="s">
        <v>16</v>
      </c>
      <c r="G576" t="s">
        <v>17</v>
      </c>
      <c r="H576" t="s">
        <v>17</v>
      </c>
      <c r="I576" s="1">
        <v>44653</v>
      </c>
      <c r="J576" t="s">
        <v>17</v>
      </c>
      <c r="K576" t="s">
        <v>54</v>
      </c>
      <c r="L576" t="s">
        <v>24</v>
      </c>
    </row>
    <row r="577" spans="1:12" x14ac:dyDescent="0.25">
      <c r="A577" t="s">
        <v>899</v>
      </c>
      <c r="B577" t="s">
        <v>900</v>
      </c>
      <c r="C577" s="3">
        <v>37077</v>
      </c>
      <c r="D577" t="s">
        <v>15</v>
      </c>
      <c r="E577">
        <v>2022</v>
      </c>
      <c r="F577" t="s">
        <v>16</v>
      </c>
      <c r="G577" t="s">
        <v>17</v>
      </c>
      <c r="H577" t="s">
        <v>17</v>
      </c>
      <c r="I577" s="1">
        <v>44653</v>
      </c>
      <c r="J577" t="s">
        <v>17</v>
      </c>
      <c r="K577" t="s">
        <v>286</v>
      </c>
      <c r="L577" t="s">
        <v>71</v>
      </c>
    </row>
    <row r="578" spans="1:12" hidden="1" x14ac:dyDescent="0.25">
      <c r="A578" t="s">
        <v>901</v>
      </c>
      <c r="B578" t="s">
        <v>241</v>
      </c>
      <c r="C578">
        <v>24765</v>
      </c>
      <c r="D578" t="s">
        <v>27</v>
      </c>
      <c r="E578">
        <v>2022</v>
      </c>
      <c r="F578" t="s">
        <v>16</v>
      </c>
      <c r="G578" t="s">
        <v>17</v>
      </c>
      <c r="H578" t="s">
        <v>17</v>
      </c>
      <c r="I578" s="1">
        <v>44653</v>
      </c>
      <c r="J578" t="s">
        <v>17</v>
      </c>
      <c r="K578" t="s">
        <v>57</v>
      </c>
      <c r="L578" t="s">
        <v>19</v>
      </c>
    </row>
    <row r="579" spans="1:12" hidden="1" x14ac:dyDescent="0.25">
      <c r="A579" t="s">
        <v>902</v>
      </c>
      <c r="B579" t="s">
        <v>903</v>
      </c>
      <c r="C579">
        <v>40025</v>
      </c>
      <c r="D579" t="s">
        <v>15</v>
      </c>
      <c r="E579">
        <v>2022</v>
      </c>
      <c r="F579" t="s">
        <v>16</v>
      </c>
      <c r="G579" t="s">
        <v>17</v>
      </c>
      <c r="H579" t="s">
        <v>17</v>
      </c>
      <c r="I579" s="1">
        <v>44653</v>
      </c>
      <c r="J579" t="s">
        <v>17</v>
      </c>
      <c r="K579" t="s">
        <v>150</v>
      </c>
      <c r="L579" t="s">
        <v>19</v>
      </c>
    </row>
    <row r="580" spans="1:12" x14ac:dyDescent="0.25">
      <c r="A580" t="s">
        <v>904</v>
      </c>
      <c r="B580" t="s">
        <v>905</v>
      </c>
      <c r="C580" s="3">
        <v>18633</v>
      </c>
      <c r="D580" t="s">
        <v>113</v>
      </c>
      <c r="E580">
        <v>2022</v>
      </c>
      <c r="F580" t="s">
        <v>16</v>
      </c>
      <c r="G580" t="s">
        <v>17</v>
      </c>
      <c r="H580" t="s">
        <v>17</v>
      </c>
      <c r="I580" s="1">
        <v>44653</v>
      </c>
      <c r="J580" t="s">
        <v>17</v>
      </c>
      <c r="K580" t="s">
        <v>68</v>
      </c>
      <c r="L580" t="s">
        <v>71</v>
      </c>
    </row>
    <row r="581" spans="1:12" hidden="1" x14ac:dyDescent="0.25">
      <c r="A581" t="s">
        <v>906</v>
      </c>
      <c r="B581" t="s">
        <v>907</v>
      </c>
      <c r="C581">
        <v>46743</v>
      </c>
      <c r="D581" t="s">
        <v>15</v>
      </c>
      <c r="E581">
        <v>2022</v>
      </c>
      <c r="F581" t="s">
        <v>16</v>
      </c>
      <c r="G581" t="s">
        <v>17</v>
      </c>
      <c r="H581" t="s">
        <v>17</v>
      </c>
      <c r="I581" s="1">
        <v>44653</v>
      </c>
      <c r="J581" t="s">
        <v>17</v>
      </c>
      <c r="K581" t="s">
        <v>104</v>
      </c>
      <c r="L581" t="s">
        <v>19</v>
      </c>
    </row>
    <row r="582" spans="1:12" hidden="1" x14ac:dyDescent="0.25">
      <c r="A582" t="s">
        <v>908</v>
      </c>
      <c r="B582" t="s">
        <v>90</v>
      </c>
      <c r="C582">
        <v>62721</v>
      </c>
      <c r="D582" t="s">
        <v>15</v>
      </c>
      <c r="E582">
        <v>2022</v>
      </c>
      <c r="F582" t="s">
        <v>16</v>
      </c>
      <c r="G582" t="s">
        <v>17</v>
      </c>
      <c r="H582" t="s">
        <v>17</v>
      </c>
      <c r="I582" s="1">
        <v>44653</v>
      </c>
      <c r="J582" t="s">
        <v>17</v>
      </c>
      <c r="K582" t="s">
        <v>28</v>
      </c>
      <c r="L582" t="s">
        <v>19</v>
      </c>
    </row>
    <row r="583" spans="1:12" hidden="1" x14ac:dyDescent="0.25">
      <c r="A583" t="s">
        <v>909</v>
      </c>
      <c r="B583" t="s">
        <v>910</v>
      </c>
      <c r="C583">
        <v>25306</v>
      </c>
      <c r="D583" t="s">
        <v>15</v>
      </c>
      <c r="E583">
        <v>2022</v>
      </c>
      <c r="F583" t="s">
        <v>16</v>
      </c>
      <c r="G583" t="s">
        <v>17</v>
      </c>
      <c r="H583" t="s">
        <v>17</v>
      </c>
      <c r="I583" s="1">
        <v>44653</v>
      </c>
      <c r="J583" t="s">
        <v>17</v>
      </c>
      <c r="K583" t="s">
        <v>911</v>
      </c>
      <c r="L583" t="s">
        <v>19</v>
      </c>
    </row>
    <row r="584" spans="1:12" hidden="1" x14ac:dyDescent="0.25">
      <c r="A584" t="s">
        <v>912</v>
      </c>
      <c r="B584" t="s">
        <v>913</v>
      </c>
      <c r="C584">
        <v>97447</v>
      </c>
      <c r="D584" t="s">
        <v>15</v>
      </c>
      <c r="E584">
        <v>2022</v>
      </c>
      <c r="F584" t="s">
        <v>16</v>
      </c>
      <c r="G584" t="s">
        <v>17</v>
      </c>
      <c r="H584" t="s">
        <v>17</v>
      </c>
      <c r="I584" s="1">
        <v>44653</v>
      </c>
      <c r="J584" t="s">
        <v>17</v>
      </c>
      <c r="K584" t="s">
        <v>28</v>
      </c>
      <c r="L584" t="s">
        <v>19</v>
      </c>
    </row>
    <row r="585" spans="1:12" x14ac:dyDescent="0.25">
      <c r="A585" t="s">
        <v>912</v>
      </c>
      <c r="B585" t="s">
        <v>232</v>
      </c>
      <c r="C585" s="3">
        <v>49727</v>
      </c>
      <c r="D585" t="s">
        <v>15</v>
      </c>
      <c r="E585">
        <v>2022</v>
      </c>
      <c r="F585" t="s">
        <v>16</v>
      </c>
      <c r="G585" t="s">
        <v>17</v>
      </c>
      <c r="H585" t="s">
        <v>17</v>
      </c>
      <c r="I585" s="1">
        <v>44653</v>
      </c>
      <c r="J585" t="s">
        <v>17</v>
      </c>
      <c r="K585" t="s">
        <v>28</v>
      </c>
      <c r="L585" t="s">
        <v>31</v>
      </c>
    </row>
    <row r="586" spans="1:12" hidden="1" x14ac:dyDescent="0.25">
      <c r="A586" t="s">
        <v>914</v>
      </c>
      <c r="B586" t="s">
        <v>915</v>
      </c>
      <c r="C586">
        <v>51282</v>
      </c>
      <c r="D586" t="s">
        <v>15</v>
      </c>
      <c r="E586">
        <v>2022</v>
      </c>
      <c r="F586" t="s">
        <v>16</v>
      </c>
      <c r="G586" t="s">
        <v>17</v>
      </c>
      <c r="H586" t="s">
        <v>17</v>
      </c>
      <c r="I586" s="1">
        <v>44653</v>
      </c>
      <c r="J586" t="s">
        <v>17</v>
      </c>
      <c r="K586" t="s">
        <v>37</v>
      </c>
      <c r="L586" t="s">
        <v>19</v>
      </c>
    </row>
    <row r="587" spans="1:12" x14ac:dyDescent="0.25">
      <c r="A587" t="s">
        <v>916</v>
      </c>
      <c r="B587" t="s">
        <v>244</v>
      </c>
      <c r="C587" s="3">
        <v>36329</v>
      </c>
      <c r="D587" t="s">
        <v>15</v>
      </c>
      <c r="E587">
        <v>2022</v>
      </c>
      <c r="F587" t="s">
        <v>16</v>
      </c>
      <c r="G587" t="s">
        <v>17</v>
      </c>
      <c r="H587" t="s">
        <v>17</v>
      </c>
      <c r="I587" s="1">
        <v>44653</v>
      </c>
      <c r="J587" t="s">
        <v>17</v>
      </c>
      <c r="K587" t="s">
        <v>917</v>
      </c>
      <c r="L587" t="s">
        <v>31</v>
      </c>
    </row>
    <row r="588" spans="1:12" x14ac:dyDescent="0.25">
      <c r="A588" t="s">
        <v>918</v>
      </c>
      <c r="B588" t="s">
        <v>103</v>
      </c>
      <c r="C588" s="3">
        <v>62414</v>
      </c>
      <c r="D588" t="s">
        <v>15</v>
      </c>
      <c r="E588">
        <v>2022</v>
      </c>
      <c r="F588" t="s">
        <v>16</v>
      </c>
      <c r="G588" t="s">
        <v>17</v>
      </c>
      <c r="H588" t="s">
        <v>17</v>
      </c>
      <c r="I588" s="1">
        <v>44653</v>
      </c>
      <c r="J588" t="s">
        <v>17</v>
      </c>
      <c r="K588" t="s">
        <v>78</v>
      </c>
      <c r="L588" t="s">
        <v>24</v>
      </c>
    </row>
    <row r="589" spans="1:12" x14ac:dyDescent="0.25">
      <c r="A589" t="s">
        <v>919</v>
      </c>
      <c r="B589" t="s">
        <v>111</v>
      </c>
      <c r="C589" s="3">
        <v>61909</v>
      </c>
      <c r="D589" t="s">
        <v>15</v>
      </c>
      <c r="E589">
        <v>2022</v>
      </c>
      <c r="F589" t="s">
        <v>16</v>
      </c>
      <c r="G589" t="s">
        <v>17</v>
      </c>
      <c r="H589" t="s">
        <v>17</v>
      </c>
      <c r="I589" s="1">
        <v>44653</v>
      </c>
      <c r="J589" t="s">
        <v>17</v>
      </c>
      <c r="K589" t="s">
        <v>150</v>
      </c>
      <c r="L589" t="s">
        <v>24</v>
      </c>
    </row>
    <row r="590" spans="1:12" hidden="1" x14ac:dyDescent="0.25">
      <c r="A590" t="s">
        <v>920</v>
      </c>
      <c r="B590" t="s">
        <v>921</v>
      </c>
      <c r="C590">
        <v>50346</v>
      </c>
      <c r="D590" t="s">
        <v>15</v>
      </c>
      <c r="E590">
        <v>2022</v>
      </c>
      <c r="F590" t="s">
        <v>16</v>
      </c>
      <c r="G590" t="s">
        <v>17</v>
      </c>
      <c r="H590" t="s">
        <v>17</v>
      </c>
      <c r="I590" s="1">
        <v>44653</v>
      </c>
      <c r="J590" t="s">
        <v>17</v>
      </c>
      <c r="K590" t="s">
        <v>18</v>
      </c>
      <c r="L590" t="s">
        <v>19</v>
      </c>
    </row>
    <row r="591" spans="1:12" x14ac:dyDescent="0.25">
      <c r="A591" t="s">
        <v>922</v>
      </c>
      <c r="B591" t="s">
        <v>77</v>
      </c>
      <c r="C591" s="3">
        <v>32508</v>
      </c>
      <c r="D591" t="s">
        <v>15</v>
      </c>
      <c r="E591">
        <v>2022</v>
      </c>
      <c r="F591" t="s">
        <v>16</v>
      </c>
      <c r="G591" t="s">
        <v>17</v>
      </c>
      <c r="H591" t="s">
        <v>17</v>
      </c>
      <c r="I591" s="1">
        <v>44653</v>
      </c>
      <c r="J591" t="s">
        <v>17</v>
      </c>
      <c r="K591" t="s">
        <v>23</v>
      </c>
      <c r="L591" t="s">
        <v>31</v>
      </c>
    </row>
    <row r="592" spans="1:12" x14ac:dyDescent="0.25">
      <c r="A592" t="s">
        <v>923</v>
      </c>
      <c r="B592" t="s">
        <v>77</v>
      </c>
      <c r="C592" s="3">
        <v>43782</v>
      </c>
      <c r="D592" t="s">
        <v>15</v>
      </c>
      <c r="E592">
        <v>2022</v>
      </c>
      <c r="F592" t="s">
        <v>16</v>
      </c>
      <c r="G592" t="s">
        <v>17</v>
      </c>
      <c r="H592" t="s">
        <v>17</v>
      </c>
      <c r="I592" s="1">
        <v>44653</v>
      </c>
      <c r="J592" t="s">
        <v>17</v>
      </c>
      <c r="K592" t="s">
        <v>28</v>
      </c>
      <c r="L592" t="s">
        <v>71</v>
      </c>
    </row>
    <row r="593" spans="1:12" hidden="1" x14ac:dyDescent="0.25">
      <c r="A593" t="s">
        <v>924</v>
      </c>
      <c r="B593" t="s">
        <v>871</v>
      </c>
      <c r="C593">
        <v>38497</v>
      </c>
      <c r="D593" t="s">
        <v>15</v>
      </c>
      <c r="E593">
        <v>2022</v>
      </c>
      <c r="F593" t="s">
        <v>16</v>
      </c>
      <c r="G593" t="s">
        <v>17</v>
      </c>
      <c r="H593" t="s">
        <v>17</v>
      </c>
      <c r="I593" s="1">
        <v>44653</v>
      </c>
      <c r="J593" t="s">
        <v>17</v>
      </c>
      <c r="K593" t="s">
        <v>18</v>
      </c>
      <c r="L593" t="s">
        <v>19</v>
      </c>
    </row>
    <row r="594" spans="1:12" hidden="1" x14ac:dyDescent="0.25">
      <c r="A594" t="s">
        <v>925</v>
      </c>
      <c r="B594" t="s">
        <v>755</v>
      </c>
      <c r="C594">
        <v>49199</v>
      </c>
      <c r="D594" t="s">
        <v>15</v>
      </c>
      <c r="E594">
        <v>2022</v>
      </c>
      <c r="F594" t="s">
        <v>16</v>
      </c>
      <c r="G594" t="s">
        <v>17</v>
      </c>
      <c r="H594" t="s">
        <v>17</v>
      </c>
      <c r="I594" s="1">
        <v>44653</v>
      </c>
      <c r="J594" t="s">
        <v>17</v>
      </c>
      <c r="K594" t="s">
        <v>18</v>
      </c>
      <c r="L594" t="s">
        <v>19</v>
      </c>
    </row>
    <row r="595" spans="1:12" hidden="1" x14ac:dyDescent="0.25">
      <c r="A595" t="s">
        <v>926</v>
      </c>
      <c r="B595" t="s">
        <v>927</v>
      </c>
      <c r="C595">
        <v>97111</v>
      </c>
      <c r="D595" t="s">
        <v>15</v>
      </c>
      <c r="E595">
        <v>2022</v>
      </c>
      <c r="F595" t="s">
        <v>16</v>
      </c>
      <c r="G595" t="s">
        <v>17</v>
      </c>
      <c r="H595" t="s">
        <v>17</v>
      </c>
      <c r="I595" s="1">
        <v>44653</v>
      </c>
      <c r="J595" t="s">
        <v>17</v>
      </c>
      <c r="K595" t="s">
        <v>28</v>
      </c>
      <c r="L595" t="s">
        <v>19</v>
      </c>
    </row>
    <row r="596" spans="1:12" x14ac:dyDescent="0.25">
      <c r="A596" t="s">
        <v>928</v>
      </c>
      <c r="B596" t="s">
        <v>308</v>
      </c>
      <c r="C596" s="3">
        <v>40279</v>
      </c>
      <c r="D596" t="s">
        <v>15</v>
      </c>
      <c r="E596">
        <v>2022</v>
      </c>
      <c r="F596" t="s">
        <v>16</v>
      </c>
      <c r="G596" t="s">
        <v>17</v>
      </c>
      <c r="H596" t="s">
        <v>17</v>
      </c>
      <c r="I596" s="1">
        <v>44653</v>
      </c>
      <c r="J596" t="s">
        <v>17</v>
      </c>
      <c r="K596" t="s">
        <v>23</v>
      </c>
      <c r="L596" t="s">
        <v>31</v>
      </c>
    </row>
    <row r="597" spans="1:12" x14ac:dyDescent="0.25">
      <c r="A597" t="s">
        <v>929</v>
      </c>
      <c r="B597" t="s">
        <v>930</v>
      </c>
      <c r="C597" s="3">
        <v>49555</v>
      </c>
      <c r="D597" t="s">
        <v>15</v>
      </c>
      <c r="E597">
        <v>2022</v>
      </c>
      <c r="F597" t="s">
        <v>16</v>
      </c>
      <c r="G597" t="s">
        <v>17</v>
      </c>
      <c r="H597" t="s">
        <v>17</v>
      </c>
      <c r="I597" s="1">
        <v>44653</v>
      </c>
      <c r="J597" t="s">
        <v>17</v>
      </c>
      <c r="K597" t="s">
        <v>931</v>
      </c>
      <c r="L597" t="s">
        <v>71</v>
      </c>
    </row>
    <row r="598" spans="1:12" x14ac:dyDescent="0.25">
      <c r="A598" t="s">
        <v>932</v>
      </c>
      <c r="B598" t="s">
        <v>375</v>
      </c>
      <c r="C598" s="3">
        <v>41804</v>
      </c>
      <c r="D598" t="s">
        <v>15</v>
      </c>
      <c r="E598">
        <v>2022</v>
      </c>
      <c r="F598" t="s">
        <v>16</v>
      </c>
      <c r="G598" t="s">
        <v>17</v>
      </c>
      <c r="H598" t="s">
        <v>17</v>
      </c>
      <c r="I598" s="1">
        <v>44653</v>
      </c>
      <c r="J598" t="s">
        <v>17</v>
      </c>
      <c r="K598" t="s">
        <v>23</v>
      </c>
      <c r="L598" t="s">
        <v>24</v>
      </c>
    </row>
    <row r="599" spans="1:12" x14ac:dyDescent="0.25">
      <c r="A599" t="s">
        <v>933</v>
      </c>
      <c r="B599" t="s">
        <v>746</v>
      </c>
      <c r="C599" s="3">
        <v>52865</v>
      </c>
      <c r="D599" t="s">
        <v>15</v>
      </c>
      <c r="E599">
        <v>2022</v>
      </c>
      <c r="F599" t="s">
        <v>16</v>
      </c>
      <c r="G599" t="s">
        <v>17</v>
      </c>
      <c r="H599" t="s">
        <v>17</v>
      </c>
      <c r="I599" s="1">
        <v>44653</v>
      </c>
      <c r="J599" t="s">
        <v>17</v>
      </c>
      <c r="K599" t="s">
        <v>23</v>
      </c>
      <c r="L599" t="s">
        <v>24</v>
      </c>
    </row>
  </sheetData>
  <autoFilter ref="A2:L599" xr:uid="{927BF5CF-D8C8-4538-ACC0-C9358CB163F1}">
    <filterColumn colId="11">
      <filters blank="1">
        <filter val="Anthem California Care HMO"/>
        <filter val="Anthem Health Care Plus+"/>
        <filter val="Anthem Health Care Plus+ *"/>
        <filter val="Anthem Out of Area"/>
        <filter val="Anthem PPO Out-of-CA"/>
        <filter val="Anthem Select HMO"/>
        <filter val="Anthem Select Plus HMO"/>
        <filter val="J107CA1 - Anthem Health Care Plus+ *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05CD-1703-4C90-85BC-E3ABFD87545E}">
  <sheetPr codeName="Sheet2"/>
  <dimension ref="A1:T358"/>
  <sheetViews>
    <sheetView tabSelected="1" workbookViewId="0">
      <selection activeCell="H3" sqref="H3"/>
    </sheetView>
  </sheetViews>
  <sheetFormatPr defaultRowHeight="13.2" x14ac:dyDescent="0.25"/>
  <cols>
    <col min="1" max="1" width="11" style="3" bestFit="1" customWidth="1"/>
    <col min="2" max="2" width="10" bestFit="1" customWidth="1"/>
    <col min="6" max="6" width="13.44140625" bestFit="1" customWidth="1"/>
    <col min="8" max="8" width="28.33203125" customWidth="1"/>
    <col min="9" max="9" width="9.6640625" bestFit="1" customWidth="1"/>
    <col min="10" max="10" width="9.88671875" bestFit="1" customWidth="1"/>
    <col min="11" max="11" width="11.44140625" bestFit="1" customWidth="1"/>
    <col min="12" max="12" width="22" bestFit="1" customWidth="1"/>
    <col min="13" max="13" width="8.21875" bestFit="1" customWidth="1"/>
    <col min="14" max="14" width="20.6640625" customWidth="1"/>
    <col min="15" max="15" width="15.109375" bestFit="1" customWidth="1"/>
    <col min="16" max="16" width="15.33203125" bestFit="1" customWidth="1"/>
    <col min="17" max="17" width="21.5546875" style="2" bestFit="1" customWidth="1"/>
    <col min="18" max="18" width="15.5546875" style="2" bestFit="1" customWidth="1"/>
    <col min="19" max="19" width="26.88671875" customWidth="1"/>
    <col min="20" max="20" width="24.88671875" bestFit="1" customWidth="1"/>
  </cols>
  <sheetData>
    <row r="1" spans="1:20" x14ac:dyDescent="0.25">
      <c r="A1" s="3" t="s">
        <v>1217</v>
      </c>
      <c r="B1" t="s">
        <v>1218</v>
      </c>
      <c r="C1" t="s">
        <v>1219</v>
      </c>
      <c r="D1" t="s">
        <v>1220</v>
      </c>
      <c r="E1" t="s">
        <v>1221</v>
      </c>
      <c r="F1" t="s">
        <v>1222</v>
      </c>
      <c r="H1" t="s">
        <v>1223</v>
      </c>
      <c r="I1" t="s">
        <v>1</v>
      </c>
      <c r="J1" t="s">
        <v>2</v>
      </c>
      <c r="K1" s="3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s="2" t="s">
        <v>9</v>
      </c>
      <c r="R1" s="2" t="s">
        <v>10</v>
      </c>
      <c r="S1" t="s">
        <v>11</v>
      </c>
      <c r="T1" t="s">
        <v>12</v>
      </c>
    </row>
    <row r="2" spans="1:20" x14ac:dyDescent="0.25">
      <c r="A2" s="3">
        <v>39055</v>
      </c>
      <c r="B2">
        <v>553651176</v>
      </c>
      <c r="C2" t="s">
        <v>934</v>
      </c>
      <c r="D2" t="s">
        <v>935</v>
      </c>
      <c r="E2" t="s">
        <v>936</v>
      </c>
      <c r="F2" s="2">
        <v>44531</v>
      </c>
      <c r="H2" t="str" cm="1">
        <f t="array" aca="1" ref="H2" ca="1">CELL("address",_xlfn.XLOOKUP(A2,Sheet1!C:C,Sheet1!C:C))</f>
        <v>[match.xlsx]Sheet1!$C$542</v>
      </c>
      <c r="I2" t="str" cm="1">
        <f t="array" ref="I2:T2">_xlfn.XLOOKUP(A2,Sheet1!C:C,Sheet1!A:L)</f>
        <v>Tran</v>
      </c>
      <c r="J2" t="str">
        <v>Tri</v>
      </c>
      <c r="K2">
        <v>39055</v>
      </c>
      <c r="L2" t="str">
        <v>951240705-SO CAL GAS</v>
      </c>
      <c r="M2">
        <v>2022</v>
      </c>
      <c r="N2" t="str">
        <v>Individual is enrolled in a COBRA or Retiree plan coverage that was not sent on a current post-enrollment reporting year import</v>
      </c>
      <c r="O2" t="str">
        <v xml:space="preserve"> </v>
      </c>
      <c r="P2" t="str">
        <v xml:space="preserve"> </v>
      </c>
      <c r="Q2" s="2">
        <v>44653</v>
      </c>
      <c r="R2" s="2" t="str">
        <v xml:space="preserve"> </v>
      </c>
      <c r="S2" t="str">
        <v>02/01/2020-12/31/9999</v>
      </c>
      <c r="T2" t="str">
        <v>Anthem Select HMO</v>
      </c>
    </row>
    <row r="3" spans="1:20" x14ac:dyDescent="0.25">
      <c r="A3" s="3">
        <v>34214</v>
      </c>
      <c r="B3">
        <v>547537341</v>
      </c>
      <c r="C3" t="s">
        <v>937</v>
      </c>
      <c r="D3" t="s">
        <v>938</v>
      </c>
      <c r="E3" t="s">
        <v>31</v>
      </c>
      <c r="F3" s="2">
        <v>43101</v>
      </c>
      <c r="H3" t="str" cm="1">
        <f t="array" aca="1" ref="H3" ca="1">CELL("address",_xlfn.XLOOKUP(A3,Sheet1!C:C,Sheet1!C:C))</f>
        <v>[match.xlsx]Sheet1!$C$148</v>
      </c>
      <c r="I3" t="str" cm="1">
        <f t="array" ref="I3:T3">_xlfn.XLOOKUP(A3,Sheet1!C:C,Sheet1!A:L)</f>
        <v>Fisher</v>
      </c>
      <c r="J3" t="str">
        <v>Keith</v>
      </c>
      <c r="K3">
        <v>34214</v>
      </c>
      <c r="L3" t="str">
        <v>951240705-SO CAL GAS</v>
      </c>
      <c r="M3">
        <v>2022</v>
      </c>
      <c r="N3" t="str">
        <v>Individual is enrolled in a COBRA or Retiree plan coverage that was not sent on a current post-enrollment reporting year import</v>
      </c>
      <c r="O3" t="str">
        <v xml:space="preserve"> </v>
      </c>
      <c r="P3" t="str">
        <v xml:space="preserve"> </v>
      </c>
      <c r="Q3" s="2">
        <v>44653</v>
      </c>
      <c r="R3" s="2" t="str">
        <v xml:space="preserve"> </v>
      </c>
      <c r="S3" t="str">
        <v>01/01/2018-12/31/9999</v>
      </c>
      <c r="T3" t="str">
        <v>Anthem California Care HMO</v>
      </c>
    </row>
    <row r="4" spans="1:20" x14ac:dyDescent="0.25">
      <c r="A4" s="3">
        <v>38664</v>
      </c>
      <c r="B4">
        <v>553150853</v>
      </c>
      <c r="C4" t="s">
        <v>939</v>
      </c>
      <c r="D4" t="s">
        <v>940</v>
      </c>
      <c r="E4" t="s">
        <v>31</v>
      </c>
      <c r="F4" s="2">
        <v>43101</v>
      </c>
      <c r="H4" t="str" cm="1">
        <f t="array" aca="1" ref="H4" ca="1">CELL("address",_xlfn.XLOOKUP(A4,Sheet1!C:C,Sheet1!C:C))</f>
        <v>[match.xlsx]Sheet1!$C$444</v>
      </c>
      <c r="I4" t="str" cm="1">
        <f t="array" ref="I4:T4">_xlfn.XLOOKUP(A4,Sheet1!C:C,Sheet1!A:L)</f>
        <v>Roberts</v>
      </c>
      <c r="J4" t="str">
        <v>Patricia</v>
      </c>
      <c r="K4">
        <v>38664</v>
      </c>
      <c r="L4" t="str">
        <v>951240705-SO CAL GAS</v>
      </c>
      <c r="M4">
        <v>2022</v>
      </c>
      <c r="N4" t="str">
        <v>Individual is enrolled in a COBRA or Retiree plan coverage that was not sent on a current post-enrollment reporting year import</v>
      </c>
      <c r="O4" t="str">
        <v xml:space="preserve"> </v>
      </c>
      <c r="P4" t="str">
        <v xml:space="preserve"> </v>
      </c>
      <c r="Q4" s="2">
        <v>44653</v>
      </c>
      <c r="R4" s="2" t="str">
        <v xml:space="preserve"> </v>
      </c>
      <c r="S4" t="str">
        <v>01/01/2018-12/31/9999</v>
      </c>
      <c r="T4" t="str">
        <v>Anthem California Care HMO</v>
      </c>
    </row>
    <row r="5" spans="1:20" x14ac:dyDescent="0.25">
      <c r="A5" s="3">
        <v>33932</v>
      </c>
      <c r="B5">
        <v>547152378</v>
      </c>
      <c r="C5" t="s">
        <v>941</v>
      </c>
      <c r="D5" t="s">
        <v>942</v>
      </c>
      <c r="E5" t="s">
        <v>71</v>
      </c>
      <c r="F5" s="2">
        <v>43466</v>
      </c>
      <c r="H5" t="str" cm="1">
        <f t="array" aca="1" ref="H5" ca="1">CELL("address",_xlfn.XLOOKUP(A5,Sheet1!C:C,Sheet1!C:C))</f>
        <v>[match.xlsx]Sheet1!$C$163</v>
      </c>
      <c r="I5" t="str" cm="1">
        <f t="array" ref="I5:T5">_xlfn.XLOOKUP(A5,Sheet1!C:C,Sheet1!A:L)</f>
        <v>Frutos</v>
      </c>
      <c r="J5" t="str">
        <v>Frank</v>
      </c>
      <c r="K5">
        <v>33932</v>
      </c>
      <c r="L5" t="str">
        <v>951240705-SO CAL GAS</v>
      </c>
      <c r="M5">
        <v>2022</v>
      </c>
      <c r="N5" t="str">
        <v>Individual is enrolled in a COBRA or Retiree plan coverage that was not sent on a current post-enrollment reporting year import</v>
      </c>
      <c r="O5" t="str">
        <v xml:space="preserve"> </v>
      </c>
      <c r="P5" t="str">
        <v xml:space="preserve"> </v>
      </c>
      <c r="Q5" s="2">
        <v>44653</v>
      </c>
      <c r="R5" s="2" t="str">
        <v xml:space="preserve"> </v>
      </c>
      <c r="S5" t="str">
        <v>01/01/2019-12/31/9999</v>
      </c>
      <c r="T5" t="str">
        <v>Anthem Select HMO</v>
      </c>
    </row>
    <row r="6" spans="1:20" x14ac:dyDescent="0.25">
      <c r="A6" s="3">
        <v>26576</v>
      </c>
      <c r="B6">
        <v>223946982</v>
      </c>
      <c r="C6" t="s">
        <v>943</v>
      </c>
      <c r="D6" t="s">
        <v>944</v>
      </c>
      <c r="E6" t="s">
        <v>24</v>
      </c>
      <c r="F6" s="2">
        <v>43466</v>
      </c>
      <c r="H6" t="str" cm="1">
        <f t="array" aca="1" ref="H6" ca="1">CELL("address",_xlfn.XLOOKUP(A6,Sheet1!C:C,Sheet1!C:C))</f>
        <v>[match.xlsx]Sheet1!$C$240</v>
      </c>
      <c r="I6" t="str" cm="1">
        <f t="array" ref="I6:T6">_xlfn.XLOOKUP(A6,Sheet1!C:C,Sheet1!A:L)</f>
        <v>Jarnagin</v>
      </c>
      <c r="J6" t="str">
        <v>Tijuanna</v>
      </c>
      <c r="K6">
        <v>26576</v>
      </c>
      <c r="L6" t="str">
        <v>951240705-SO CAL GAS</v>
      </c>
      <c r="M6">
        <v>2022</v>
      </c>
      <c r="N6" t="str">
        <v>Individual is enrolled in a COBRA or Retiree plan coverage that was not sent on a current post-enrollment reporting year import</v>
      </c>
      <c r="O6" t="str">
        <v xml:space="preserve"> </v>
      </c>
      <c r="P6" t="str">
        <v xml:space="preserve"> </v>
      </c>
      <c r="Q6" s="2">
        <v>44653</v>
      </c>
      <c r="R6" s="2" t="str">
        <v xml:space="preserve"> </v>
      </c>
      <c r="S6" t="str">
        <v>01/01/2019-12/31/9999</v>
      </c>
      <c r="T6" t="str">
        <v>Anthem Health Care Plus+</v>
      </c>
    </row>
    <row r="7" spans="1:20" x14ac:dyDescent="0.25">
      <c r="A7" s="3">
        <v>54126</v>
      </c>
      <c r="B7">
        <v>572929341</v>
      </c>
      <c r="C7" t="s">
        <v>685</v>
      </c>
      <c r="D7" t="s">
        <v>684</v>
      </c>
      <c r="E7" t="s">
        <v>31</v>
      </c>
      <c r="F7" s="2">
        <v>43556</v>
      </c>
      <c r="H7" t="str" cm="1">
        <f t="array" aca="1" ref="H7" ca="1">CELL("address",_xlfn.XLOOKUP(A7,Sheet1!C:C,Sheet1!C:C))</f>
        <v>[match.xlsx]Sheet1!$C$402</v>
      </c>
      <c r="I7" t="str" cm="1">
        <f t="array" ref="I7:T7">_xlfn.XLOOKUP(A7,Sheet1!C:C,Sheet1!A:L)</f>
        <v>Ortega</v>
      </c>
      <c r="J7" t="str">
        <v>Eddie</v>
      </c>
      <c r="K7">
        <v>54126</v>
      </c>
      <c r="L7" t="str">
        <v>951240705-SO CAL GAS</v>
      </c>
      <c r="M7">
        <v>2022</v>
      </c>
      <c r="N7" t="str">
        <v>Individual is enrolled in a COBRA or Retiree plan coverage that was not sent on a current post-enrollment reporting year import</v>
      </c>
      <c r="O7" t="str">
        <v xml:space="preserve"> </v>
      </c>
      <c r="P7" t="str">
        <v xml:space="preserve"> </v>
      </c>
      <c r="Q7" s="2">
        <v>44653</v>
      </c>
      <c r="R7" s="2" t="str">
        <v xml:space="preserve"> </v>
      </c>
      <c r="S7" t="str">
        <v>04/01/2019-12/31/9999</v>
      </c>
      <c r="T7" t="str">
        <v>Anthem California Care HMO</v>
      </c>
    </row>
    <row r="8" spans="1:20" x14ac:dyDescent="0.25">
      <c r="A8" s="3">
        <v>45111</v>
      </c>
      <c r="B8">
        <v>561356510</v>
      </c>
      <c r="C8" t="s">
        <v>519</v>
      </c>
      <c r="D8" t="s">
        <v>722</v>
      </c>
      <c r="E8" t="s">
        <v>31</v>
      </c>
      <c r="F8" s="2">
        <v>43132</v>
      </c>
      <c r="H8" t="str" cm="1">
        <f t="array" aca="1" ref="H8" ca="1">CELL("address",_xlfn.XLOOKUP(A8,Sheet1!C:C,Sheet1!C:C))</f>
        <v>[match.xlsx]Sheet1!$C$431</v>
      </c>
      <c r="I8" t="str" cm="1">
        <f t="array" ref="I8:T8">_xlfn.XLOOKUP(A8,Sheet1!C:C,Sheet1!A:L)</f>
        <v>Reidy</v>
      </c>
      <c r="J8" t="str">
        <v>James</v>
      </c>
      <c r="K8">
        <v>45111</v>
      </c>
      <c r="L8" t="str">
        <v>951240705-SO CAL GAS</v>
      </c>
      <c r="M8">
        <v>2022</v>
      </c>
      <c r="N8" t="str">
        <v>Individual is enrolled in a COBRA or Retiree plan coverage that was not sent on a current post-enrollment reporting year import</v>
      </c>
      <c r="O8" t="str">
        <v xml:space="preserve"> </v>
      </c>
      <c r="P8" t="str">
        <v xml:space="preserve"> </v>
      </c>
      <c r="Q8" s="2">
        <v>44653</v>
      </c>
      <c r="R8" s="2" t="str">
        <v xml:space="preserve"> </v>
      </c>
      <c r="S8" t="str">
        <v>02/01/2018-12/31/9999</v>
      </c>
      <c r="T8" t="str">
        <v>Anthem California Care HMO</v>
      </c>
    </row>
    <row r="9" spans="1:20" x14ac:dyDescent="0.25">
      <c r="A9" s="3">
        <v>37069</v>
      </c>
      <c r="B9">
        <v>551080940</v>
      </c>
      <c r="C9" t="s">
        <v>945</v>
      </c>
      <c r="D9" t="s">
        <v>946</v>
      </c>
      <c r="E9" t="s">
        <v>24</v>
      </c>
      <c r="F9" s="2">
        <v>43252</v>
      </c>
      <c r="H9" t="str" cm="1">
        <f t="array" aca="1" ref="H9" ca="1">CELL("address",_xlfn.XLOOKUP(A9,Sheet1!C:C,Sheet1!C:C))</f>
        <v>[match.xlsx]Sheet1!$C$486</v>
      </c>
      <c r="I9" t="str" cm="1">
        <f t="array" ref="I9:T9">_xlfn.XLOOKUP(A9,Sheet1!C:C,Sheet1!A:L)</f>
        <v>Sena</v>
      </c>
      <c r="J9" t="str">
        <v>Arthur</v>
      </c>
      <c r="K9">
        <v>37069</v>
      </c>
      <c r="L9" t="str">
        <v>951240705-SO CAL GAS</v>
      </c>
      <c r="M9">
        <v>2022</v>
      </c>
      <c r="N9" t="str">
        <v>Individual is enrolled in a COBRA or Retiree plan coverage that was not sent on a current post-enrollment reporting year import</v>
      </c>
      <c r="O9" t="str">
        <v xml:space="preserve"> </v>
      </c>
      <c r="P9" t="str">
        <v xml:space="preserve"> </v>
      </c>
      <c r="Q9" s="2">
        <v>44653</v>
      </c>
      <c r="R9" s="2" t="str">
        <v xml:space="preserve"> </v>
      </c>
      <c r="S9" t="str">
        <v>06/01/2018-12/31/9999</v>
      </c>
      <c r="T9" t="str">
        <v>Anthem Health Care Plus+</v>
      </c>
    </row>
    <row r="10" spans="1:20" x14ac:dyDescent="0.25">
      <c r="A10" s="3">
        <v>41027</v>
      </c>
      <c r="B10">
        <v>556297286</v>
      </c>
      <c r="C10" t="s">
        <v>947</v>
      </c>
      <c r="D10" t="s">
        <v>948</v>
      </c>
      <c r="E10" t="s">
        <v>24</v>
      </c>
      <c r="F10" s="2">
        <v>43101</v>
      </c>
      <c r="H10" t="str" cm="1">
        <f t="array" aca="1" ref="H10" ca="1">CELL("address",_xlfn.XLOOKUP(A10,Sheet1!C:C,Sheet1!C:C))</f>
        <v>[match.xlsx]Sheet1!$C$495</v>
      </c>
      <c r="I10" t="str" cm="1">
        <f t="array" ref="I10:T10">_xlfn.XLOOKUP(A10,Sheet1!C:C,Sheet1!A:L)</f>
        <v>Skidmore</v>
      </c>
      <c r="J10" t="str">
        <v>Virginia</v>
      </c>
      <c r="K10">
        <v>41027</v>
      </c>
      <c r="L10" t="str">
        <v>951240705-SO CAL GAS</v>
      </c>
      <c r="M10">
        <v>2022</v>
      </c>
      <c r="N10" t="str">
        <v>Individual is enrolled in a COBRA or Retiree plan coverage that was not sent on a current post-enrollment reporting year import</v>
      </c>
      <c r="O10" t="str">
        <v xml:space="preserve"> </v>
      </c>
      <c r="P10" t="str">
        <v xml:space="preserve"> </v>
      </c>
      <c r="Q10" s="2">
        <v>44653</v>
      </c>
      <c r="R10" s="2" t="str">
        <v xml:space="preserve"> </v>
      </c>
      <c r="S10" t="str">
        <v>01/01/2018-12/31/9999</v>
      </c>
      <c r="T10" t="str">
        <v>Anthem Health Care Plus+</v>
      </c>
    </row>
    <row r="11" spans="1:20" x14ac:dyDescent="0.25">
      <c r="A11" s="3">
        <v>39625</v>
      </c>
      <c r="B11">
        <v>554515546</v>
      </c>
      <c r="C11" t="s">
        <v>934</v>
      </c>
      <c r="D11" t="s">
        <v>949</v>
      </c>
      <c r="E11" t="s">
        <v>31</v>
      </c>
      <c r="F11" s="2">
        <v>43101</v>
      </c>
      <c r="H11" t="str" cm="1">
        <f t="array" aca="1" ref="H11" ca="1">CELL("address",_xlfn.XLOOKUP(A11,Sheet1!C:C,Sheet1!C:C))</f>
        <v>[match.xlsx]Sheet1!$C$404</v>
      </c>
      <c r="I11" t="str" cm="1">
        <f t="array" ref="I11:T11">_xlfn.XLOOKUP(A11,Sheet1!C:C,Sheet1!A:L)</f>
        <v>Ostovich</v>
      </c>
      <c r="J11" t="str">
        <v>Thomas</v>
      </c>
      <c r="K11">
        <v>39625</v>
      </c>
      <c r="L11" t="str">
        <v>951240705-SO CAL GAS</v>
      </c>
      <c r="M11">
        <v>2022</v>
      </c>
      <c r="N11" t="str">
        <v>Individual is enrolled in a COBRA or Retiree plan coverage that was not sent on a current post-enrollment reporting year import</v>
      </c>
      <c r="O11" t="str">
        <v xml:space="preserve"> </v>
      </c>
      <c r="P11" t="str">
        <v xml:space="preserve"> </v>
      </c>
      <c r="Q11" s="2">
        <v>44653</v>
      </c>
      <c r="R11" s="2" t="str">
        <v xml:space="preserve"> </v>
      </c>
      <c r="S11" t="str">
        <v>01/01/2018-12/31/9999</v>
      </c>
      <c r="T11" t="str">
        <v>Anthem California Care HMO</v>
      </c>
    </row>
    <row r="12" spans="1:20" x14ac:dyDescent="0.25">
      <c r="A12" s="3">
        <v>40928</v>
      </c>
      <c r="B12">
        <v>556154270</v>
      </c>
      <c r="C12" t="s">
        <v>641</v>
      </c>
      <c r="D12" t="s">
        <v>830</v>
      </c>
      <c r="E12" t="s">
        <v>31</v>
      </c>
      <c r="F12" s="2">
        <v>43709</v>
      </c>
      <c r="H12" t="str" cm="1">
        <f t="array" aca="1" ref="H12" ca="1">CELL("address",_xlfn.XLOOKUP(A12,Sheet1!C:C,Sheet1!C:C))</f>
        <v>[match.xlsx]Sheet1!$C$526</v>
      </c>
      <c r="I12" t="str" cm="1">
        <f t="array" ref="I12:T12">_xlfn.XLOOKUP(A12,Sheet1!C:C,Sheet1!A:L)</f>
        <v>Switzer</v>
      </c>
      <c r="J12" t="str">
        <v>Jeffrey</v>
      </c>
      <c r="K12">
        <v>40928</v>
      </c>
      <c r="L12" t="str">
        <v>951240705-SO CAL GAS</v>
      </c>
      <c r="M12">
        <v>2022</v>
      </c>
      <c r="N12" t="str">
        <v>Individual is enrolled in a COBRA or Retiree plan coverage that was not sent on a current post-enrollment reporting year import</v>
      </c>
      <c r="O12" t="str">
        <v xml:space="preserve"> </v>
      </c>
      <c r="P12" t="str">
        <v xml:space="preserve"> </v>
      </c>
      <c r="Q12" s="2">
        <v>44653</v>
      </c>
      <c r="R12" s="2" t="str">
        <v xml:space="preserve"> </v>
      </c>
      <c r="S12" t="str">
        <v>09/01/2019-12/31/9999</v>
      </c>
      <c r="T12" t="str">
        <v>Anthem California Care HMO</v>
      </c>
    </row>
    <row r="13" spans="1:20" x14ac:dyDescent="0.25">
      <c r="A13" s="3">
        <v>47490</v>
      </c>
      <c r="B13">
        <v>564334885</v>
      </c>
      <c r="C13" t="s">
        <v>43</v>
      </c>
      <c r="D13" t="s">
        <v>358</v>
      </c>
      <c r="E13" t="s">
        <v>31</v>
      </c>
      <c r="F13" s="2">
        <v>43922</v>
      </c>
      <c r="H13" t="str" cm="1">
        <f t="array" aca="1" ref="H13" ca="1">CELL("address",_xlfn.XLOOKUP(A13,Sheet1!C:C,Sheet1!C:C))</f>
        <v>[match.xlsx]Sheet1!$C$172</v>
      </c>
      <c r="I13" t="str" cm="1">
        <f t="array" ref="I13:T13">_xlfn.XLOOKUP(A13,Sheet1!C:C,Sheet1!A:L)</f>
        <v>Gibson</v>
      </c>
      <c r="J13" t="str">
        <v>Richard</v>
      </c>
      <c r="K13">
        <v>47490</v>
      </c>
      <c r="L13" t="str">
        <v>951240705-SO CAL GAS</v>
      </c>
      <c r="M13">
        <v>2022</v>
      </c>
      <c r="N13" t="str">
        <v>Individual is enrolled in a COBRA or Retiree plan coverage that was not sent on a current post-enrollment reporting year import</v>
      </c>
      <c r="O13" t="str">
        <v xml:space="preserve"> </v>
      </c>
      <c r="P13" t="str">
        <v xml:space="preserve"> </v>
      </c>
      <c r="Q13" s="2">
        <v>44653</v>
      </c>
      <c r="R13" s="2" t="str">
        <v xml:space="preserve"> </v>
      </c>
      <c r="S13" t="str">
        <v>04/01/2020-12/31/9999</v>
      </c>
      <c r="T13" t="str">
        <v>Anthem California Care HMO</v>
      </c>
    </row>
    <row r="14" spans="1:20" x14ac:dyDescent="0.25">
      <c r="A14" s="3">
        <v>39482</v>
      </c>
      <c r="B14">
        <v>554296119</v>
      </c>
      <c r="C14" t="s">
        <v>950</v>
      </c>
      <c r="D14" t="s">
        <v>951</v>
      </c>
      <c r="E14" t="s">
        <v>24</v>
      </c>
      <c r="F14" s="2">
        <v>43525</v>
      </c>
      <c r="H14" t="str" cm="1">
        <f t="array" aca="1" ref="H14" ca="1">CELL("address",_xlfn.XLOOKUP(A14,Sheet1!C:C,Sheet1!C:C))</f>
        <v>[match.xlsx]Sheet1!$C$259</v>
      </c>
      <c r="I14" t="str" cm="1">
        <f t="array" ref="I14:T14">_xlfn.XLOOKUP(A14,Sheet1!C:C,Sheet1!A:L)</f>
        <v>Kelly</v>
      </c>
      <c r="J14" t="str">
        <v>Veronica</v>
      </c>
      <c r="K14">
        <v>39482</v>
      </c>
      <c r="L14" t="str">
        <v>951240705-SO CAL GAS</v>
      </c>
      <c r="M14">
        <v>2022</v>
      </c>
      <c r="N14" t="str">
        <v>Individual is enrolled in a COBRA or Retiree plan coverage that was not sent on a current post-enrollment reporting year import</v>
      </c>
      <c r="O14" t="str">
        <v xml:space="preserve"> </v>
      </c>
      <c r="P14" t="str">
        <v xml:space="preserve"> </v>
      </c>
      <c r="Q14" s="2">
        <v>44653</v>
      </c>
      <c r="R14" s="2" t="str">
        <v xml:space="preserve"> </v>
      </c>
      <c r="S14" t="str">
        <v>03/01/2019-12/31/9999</v>
      </c>
      <c r="T14" t="str">
        <v>Anthem Health Care Plus+</v>
      </c>
    </row>
    <row r="15" spans="1:20" x14ac:dyDescent="0.25">
      <c r="A15" s="3">
        <v>49566</v>
      </c>
      <c r="B15">
        <v>567067348</v>
      </c>
      <c r="C15" t="s">
        <v>952</v>
      </c>
      <c r="D15" t="s">
        <v>953</v>
      </c>
      <c r="E15" t="s">
        <v>954</v>
      </c>
      <c r="F15" s="2">
        <v>44562</v>
      </c>
      <c r="H15" t="str" cm="1">
        <f t="array" aca="1" ref="H15" ca="1">CELL("address",_xlfn.XLOOKUP(A15,Sheet1!C:C,Sheet1!C:C))</f>
        <v>[match.xlsx]Sheet1!$C$491</v>
      </c>
      <c r="I15" t="str" cm="1">
        <f t="array" ref="I15:T15">_xlfn.XLOOKUP(A15,Sheet1!C:C,Sheet1!A:L)</f>
        <v>Shiroishi</v>
      </c>
      <c r="J15" t="str">
        <v>Debra</v>
      </c>
      <c r="K15">
        <v>49566</v>
      </c>
      <c r="L15" t="str">
        <v>951240705-SO CAL GAS</v>
      </c>
      <c r="M15">
        <v>2022</v>
      </c>
      <c r="N15" t="str">
        <v>Individual is enrolled in a COBRA or Retiree plan coverage that was not sent on a current post-enrollment reporting year import</v>
      </c>
      <c r="O15" t="str">
        <v xml:space="preserve"> </v>
      </c>
      <c r="P15" t="str">
        <v xml:space="preserve"> </v>
      </c>
      <c r="Q15" s="2">
        <v>44653</v>
      </c>
      <c r="R15" s="2" t="str">
        <v xml:space="preserve"> </v>
      </c>
      <c r="S15" t="str">
        <v>01/01/2019-12/31/9999</v>
      </c>
      <c r="T15" t="str">
        <v>Anthem Select HMO</v>
      </c>
    </row>
    <row r="16" spans="1:20" x14ac:dyDescent="0.25">
      <c r="A16" s="3">
        <v>51818</v>
      </c>
      <c r="B16">
        <v>569948541</v>
      </c>
      <c r="C16" t="s">
        <v>616</v>
      </c>
      <c r="D16" t="s">
        <v>750</v>
      </c>
      <c r="E16" t="s">
        <v>31</v>
      </c>
      <c r="F16" s="2">
        <v>43647</v>
      </c>
      <c r="H16" t="str" cm="1">
        <f t="array" aca="1" ref="H16" ca="1">CELL("address",_xlfn.XLOOKUP(A16,Sheet1!C:C,Sheet1!C:C))</f>
        <v>[match.xlsx]Sheet1!$C$456</v>
      </c>
      <c r="I16" t="str" cm="1">
        <f t="array" ref="I16:T16">_xlfn.XLOOKUP(A16,Sheet1!C:C,Sheet1!A:L)</f>
        <v>Rojas</v>
      </c>
      <c r="J16" t="str">
        <v>Bertha</v>
      </c>
      <c r="K16">
        <v>51818</v>
      </c>
      <c r="L16" t="str">
        <v>951240705-SO CAL GAS</v>
      </c>
      <c r="M16">
        <v>2022</v>
      </c>
      <c r="N16" t="str">
        <v>Individual is enrolled in a COBRA or Retiree plan coverage that was not sent on a current post-enrollment reporting year import</v>
      </c>
      <c r="O16" t="str">
        <v xml:space="preserve"> </v>
      </c>
      <c r="P16" t="str">
        <v xml:space="preserve"> </v>
      </c>
      <c r="Q16" s="2">
        <v>44653</v>
      </c>
      <c r="R16" s="2" t="str">
        <v xml:space="preserve"> </v>
      </c>
      <c r="S16" t="str">
        <v>07/01/2019-12/31/9999</v>
      </c>
      <c r="T16" t="str">
        <v>Anthem California Care HMO</v>
      </c>
    </row>
    <row r="17" spans="1:20" x14ac:dyDescent="0.25">
      <c r="A17" s="3">
        <v>49727</v>
      </c>
      <c r="B17">
        <v>567271034</v>
      </c>
      <c r="C17" t="s">
        <v>955</v>
      </c>
      <c r="D17" t="s">
        <v>956</v>
      </c>
      <c r="E17" t="s">
        <v>957</v>
      </c>
      <c r="F17" s="2">
        <v>43466</v>
      </c>
      <c r="H17" t="str" cm="1">
        <f t="array" aca="1" ref="H17" ca="1">CELL("address",_xlfn.XLOOKUP(A17,Sheet1!C:C,Sheet1!C:C))</f>
        <v>[match.xlsx]Sheet1!$C$585</v>
      </c>
      <c r="I17" t="str" cm="1">
        <f t="array" ref="I17:T17">_xlfn.XLOOKUP(A17,Sheet1!C:C,Sheet1!A:L)</f>
        <v>Woods</v>
      </c>
      <c r="J17" t="str">
        <v>Terry</v>
      </c>
      <c r="K17">
        <v>49727</v>
      </c>
      <c r="L17" t="str">
        <v>951240705-SO CAL GAS</v>
      </c>
      <c r="M17">
        <v>2022</v>
      </c>
      <c r="N17" t="str">
        <v>Individual is enrolled in a COBRA or Retiree plan coverage that was not sent on a current post-enrollment reporting year import</v>
      </c>
      <c r="O17" t="str">
        <v xml:space="preserve"> </v>
      </c>
      <c r="P17" t="str">
        <v xml:space="preserve"> </v>
      </c>
      <c r="Q17" s="2">
        <v>44653</v>
      </c>
      <c r="R17" s="2" t="str">
        <v xml:space="preserve"> </v>
      </c>
      <c r="S17" t="str">
        <v>01/01/2019-12/31/9999</v>
      </c>
      <c r="T17" t="str">
        <v>Anthem California Care HMO</v>
      </c>
    </row>
    <row r="18" spans="1:20" x14ac:dyDescent="0.25">
      <c r="A18" s="3">
        <v>34079</v>
      </c>
      <c r="B18">
        <v>547338858</v>
      </c>
      <c r="C18" t="s">
        <v>958</v>
      </c>
      <c r="D18" t="s">
        <v>959</v>
      </c>
      <c r="E18" t="s">
        <v>31</v>
      </c>
      <c r="F18" s="2">
        <v>43466</v>
      </c>
      <c r="H18" t="str" cm="1">
        <f t="array" aca="1" ref="H18" ca="1">CELL("address",_xlfn.XLOOKUP(A18,Sheet1!C:C,Sheet1!C:C))</f>
        <v>[match.xlsx]Sheet1!$C$267</v>
      </c>
      <c r="I18" t="str" cm="1">
        <f t="array" ref="I18:T18">_xlfn.XLOOKUP(A18,Sheet1!C:C,Sheet1!A:L)</f>
        <v>Konopka</v>
      </c>
      <c r="J18" t="str">
        <v>Kent</v>
      </c>
      <c r="K18">
        <v>34079</v>
      </c>
      <c r="L18" t="str">
        <v>951240705-SO CAL GAS</v>
      </c>
      <c r="M18">
        <v>2022</v>
      </c>
      <c r="N18" t="str">
        <v>Individual is enrolled in a COBRA or Retiree plan coverage that was not sent on a current post-enrollment reporting year import</v>
      </c>
      <c r="O18" t="str">
        <v xml:space="preserve"> </v>
      </c>
      <c r="P18" t="str">
        <v xml:space="preserve"> </v>
      </c>
      <c r="Q18" s="2">
        <v>44653</v>
      </c>
      <c r="R18" s="2" t="str">
        <v xml:space="preserve"> </v>
      </c>
      <c r="S18" t="str">
        <v>01/01/2019-12/31/9999</v>
      </c>
      <c r="T18" t="str">
        <v>Anthem California Care HMO</v>
      </c>
    </row>
    <row r="19" spans="1:20" x14ac:dyDescent="0.25">
      <c r="A19" s="3">
        <v>41474</v>
      </c>
      <c r="B19">
        <v>556774687</v>
      </c>
      <c r="C19" t="s">
        <v>960</v>
      </c>
      <c r="D19" t="s">
        <v>961</v>
      </c>
      <c r="E19" t="s">
        <v>24</v>
      </c>
      <c r="F19" s="2">
        <v>43101</v>
      </c>
      <c r="H19" t="str" cm="1">
        <f t="array" aca="1" ref="H19" ca="1">CELL("address",_xlfn.XLOOKUP(A19,Sheet1!C:C,Sheet1!C:C))</f>
        <v>[match.xlsx]Sheet1!$C$555</v>
      </c>
      <c r="I19" t="str" cm="1">
        <f t="array" ref="I19:T19">_xlfn.XLOOKUP(A19,Sheet1!C:C,Sheet1!A:L)</f>
        <v>Vela-Castro</v>
      </c>
      <c r="J19" t="str">
        <v>Cecilia</v>
      </c>
      <c r="K19">
        <v>41474</v>
      </c>
      <c r="L19" t="str">
        <v>951240705-SO CAL GAS</v>
      </c>
      <c r="M19">
        <v>2022</v>
      </c>
      <c r="N19" t="str">
        <v>Individual is enrolled in a COBRA or Retiree plan coverage that was not sent on a current post-enrollment reporting year import</v>
      </c>
      <c r="O19" t="str">
        <v xml:space="preserve"> </v>
      </c>
      <c r="P19" t="str">
        <v xml:space="preserve"> </v>
      </c>
      <c r="Q19" s="2">
        <v>44653</v>
      </c>
      <c r="R19" s="2" t="str">
        <v xml:space="preserve"> </v>
      </c>
      <c r="S19" t="str">
        <v>01/01/2018-12/31/9999</v>
      </c>
      <c r="T19" t="str">
        <v>Anthem Health Care Plus+</v>
      </c>
    </row>
    <row r="20" spans="1:20" x14ac:dyDescent="0.25">
      <c r="A20" s="3">
        <v>39503</v>
      </c>
      <c r="B20">
        <v>554317132</v>
      </c>
      <c r="C20" t="s">
        <v>962</v>
      </c>
      <c r="D20" t="s">
        <v>963</v>
      </c>
      <c r="E20" t="s">
        <v>31</v>
      </c>
      <c r="F20" s="2">
        <v>43101</v>
      </c>
      <c r="H20" t="str" cm="1">
        <f t="array" aca="1" ref="H20" ca="1">CELL("address",_xlfn.XLOOKUP(A20,Sheet1!C:C,Sheet1!C:C))</f>
        <v>[match.xlsx]Sheet1!$C$47</v>
      </c>
      <c r="I20" t="str" cm="1">
        <f t="array" ref="I20:T20">_xlfn.XLOOKUP(A20,Sheet1!C:C,Sheet1!A:L)</f>
        <v>Bliss</v>
      </c>
      <c r="J20" t="str">
        <v>Chris</v>
      </c>
      <c r="K20">
        <v>39503</v>
      </c>
      <c r="L20" t="str">
        <v>951240705-SO CAL GAS</v>
      </c>
      <c r="M20">
        <v>2022</v>
      </c>
      <c r="N20" t="str">
        <v>Individual is enrolled in a COBRA or Retiree plan coverage that was not sent on a current post-enrollment reporting year import</v>
      </c>
      <c r="O20" t="str">
        <v xml:space="preserve"> </v>
      </c>
      <c r="P20" t="str">
        <v xml:space="preserve"> </v>
      </c>
      <c r="Q20" s="2">
        <v>44653</v>
      </c>
      <c r="R20" s="2" t="str">
        <v xml:space="preserve"> </v>
      </c>
      <c r="S20" t="str">
        <v>01/01/2018-12/31/9999</v>
      </c>
      <c r="T20" t="str">
        <v>Anthem California Care HMO</v>
      </c>
    </row>
    <row r="21" spans="1:20" x14ac:dyDescent="0.25">
      <c r="A21" s="3">
        <v>52692</v>
      </c>
      <c r="B21">
        <v>570967853</v>
      </c>
      <c r="C21" t="s">
        <v>964</v>
      </c>
      <c r="D21" t="s">
        <v>965</v>
      </c>
      <c r="E21" t="s">
        <v>966</v>
      </c>
      <c r="F21" s="2">
        <v>44136</v>
      </c>
      <c r="H21" t="str" cm="1">
        <f t="array" aca="1" ref="H21" ca="1">CELL("address",_xlfn.XLOOKUP(A21,Sheet1!C:C,Sheet1!C:C))</f>
        <v>[match.xlsx]Sheet1!$C$199</v>
      </c>
      <c r="I21" t="str" cm="1">
        <f t="array" ref="I21:T21">_xlfn.XLOOKUP(A21,Sheet1!C:C,Sheet1!A:L)</f>
        <v>Hale</v>
      </c>
      <c r="J21" t="str">
        <v>Stephen</v>
      </c>
      <c r="K21">
        <v>52692</v>
      </c>
      <c r="L21" t="str">
        <v>951240705-SO CAL GAS</v>
      </c>
      <c r="M21">
        <v>2022</v>
      </c>
      <c r="N21" t="str">
        <v>Individual is enrolled in a COBRA or Retiree plan coverage that was not sent on a current post-enrollment reporting year import</v>
      </c>
      <c r="O21" t="str">
        <v xml:space="preserve"> </v>
      </c>
      <c r="P21" t="str">
        <v xml:space="preserve"> </v>
      </c>
      <c r="Q21" s="2">
        <v>44653</v>
      </c>
      <c r="R21" s="2" t="str">
        <v xml:space="preserve"> </v>
      </c>
      <c r="S21" t="str">
        <v>01/01/2019-12/31/9999</v>
      </c>
      <c r="T21" t="str">
        <v>Anthem California Care HMO</v>
      </c>
    </row>
    <row r="22" spans="1:20" x14ac:dyDescent="0.25">
      <c r="A22" s="3">
        <v>61247</v>
      </c>
      <c r="B22">
        <v>352501685</v>
      </c>
      <c r="C22" t="s">
        <v>77</v>
      </c>
      <c r="D22" t="s">
        <v>445</v>
      </c>
      <c r="E22" t="s">
        <v>24</v>
      </c>
      <c r="F22" s="2">
        <v>43678</v>
      </c>
      <c r="H22" t="str" cm="1">
        <f t="array" aca="1" ref="H22" ca="1">CELL("address",_xlfn.XLOOKUP(A22,Sheet1!C:C,Sheet1!C:C))</f>
        <v>[match.xlsx]Sheet1!$C$227</v>
      </c>
      <c r="I22" t="str" cm="1">
        <f t="array" ref="I22:T22">_xlfn.XLOOKUP(A22,Sheet1!C:C,Sheet1!A:L)</f>
        <v>Hoffman</v>
      </c>
      <c r="J22" t="str">
        <v>Robert</v>
      </c>
      <c r="K22">
        <v>61247</v>
      </c>
      <c r="L22" t="str">
        <v>951240705-SO CAL GAS</v>
      </c>
      <c r="M22">
        <v>2022</v>
      </c>
      <c r="N22" t="str">
        <v>Individual is enrolled in a COBRA or Retiree plan coverage that was not sent on a current post-enrollment reporting year import</v>
      </c>
      <c r="O22" t="str">
        <v xml:space="preserve"> </v>
      </c>
      <c r="P22" t="str">
        <v xml:space="preserve"> </v>
      </c>
      <c r="Q22" s="2">
        <v>44653</v>
      </c>
      <c r="R22" s="2" t="str">
        <v xml:space="preserve"> </v>
      </c>
      <c r="S22" t="str">
        <v>08/01/2019-12/31/9999</v>
      </c>
      <c r="T22" t="str">
        <v>Anthem Health Care Plus+</v>
      </c>
    </row>
    <row r="23" spans="1:20" x14ac:dyDescent="0.25">
      <c r="A23" s="3">
        <v>44765</v>
      </c>
      <c r="B23">
        <v>561089398</v>
      </c>
      <c r="C23" t="s">
        <v>74</v>
      </c>
      <c r="D23" t="s">
        <v>242</v>
      </c>
      <c r="E23" t="s">
        <v>71</v>
      </c>
      <c r="F23" s="2">
        <v>43466</v>
      </c>
      <c r="H23" t="str" cm="1">
        <f t="array" aca="1" ref="H23" ca="1">CELL("address",_xlfn.XLOOKUP(A23,Sheet1!C:C,Sheet1!C:C))</f>
        <v>[match.xlsx]Sheet1!$C$105</v>
      </c>
      <c r="I23" t="str" cm="1">
        <f t="array" ref="I23:T23">_xlfn.XLOOKUP(A23,Sheet1!C:C,Sheet1!A:L)</f>
        <v>Curran</v>
      </c>
      <c r="J23" t="str">
        <v>John</v>
      </c>
      <c r="K23">
        <v>44765</v>
      </c>
      <c r="L23" t="str">
        <v>951240705-SO CAL GAS</v>
      </c>
      <c r="M23">
        <v>2022</v>
      </c>
      <c r="N23" t="str">
        <v>Individual is enrolled in a COBRA or Retiree plan coverage that was not sent on a current post-enrollment reporting year import</v>
      </c>
      <c r="O23" t="str">
        <v xml:space="preserve"> </v>
      </c>
      <c r="P23" t="str">
        <v xml:space="preserve"> </v>
      </c>
      <c r="Q23" s="2">
        <v>44653</v>
      </c>
      <c r="R23" s="2" t="str">
        <v xml:space="preserve"> </v>
      </c>
      <c r="S23" t="str">
        <v>01/01/2019-12/31/9999</v>
      </c>
      <c r="T23" t="str">
        <v>Anthem Select HMO</v>
      </c>
    </row>
    <row r="24" spans="1:20" x14ac:dyDescent="0.25">
      <c r="A24" s="3">
        <v>42681</v>
      </c>
      <c r="B24">
        <v>558373269</v>
      </c>
      <c r="C24" t="s">
        <v>189</v>
      </c>
      <c r="D24" t="s">
        <v>668</v>
      </c>
      <c r="E24" t="s">
        <v>31</v>
      </c>
      <c r="F24" s="2">
        <v>43617</v>
      </c>
      <c r="H24" t="str" cm="1">
        <f t="array" aca="1" ref="H24" ca="1">CELL("address",_xlfn.XLOOKUP(A24,Sheet1!C:C,Sheet1!C:C))</f>
        <v>[match.xlsx]Sheet1!$C$386</v>
      </c>
      <c r="I24" t="str" cm="1">
        <f t="array" ref="I24:T24">_xlfn.XLOOKUP(A24,Sheet1!C:C,Sheet1!A:L)</f>
        <v>Noakes</v>
      </c>
      <c r="J24" t="str">
        <v>Thomas</v>
      </c>
      <c r="K24">
        <v>42681</v>
      </c>
      <c r="L24" t="str">
        <v>951240705-SO CAL GAS</v>
      </c>
      <c r="M24">
        <v>2022</v>
      </c>
      <c r="N24" t="str">
        <v>Individual is enrolled in a COBRA or Retiree plan coverage that was not sent on a current post-enrollment reporting year import</v>
      </c>
      <c r="O24" t="str">
        <v xml:space="preserve"> </v>
      </c>
      <c r="P24" t="str">
        <v xml:space="preserve"> </v>
      </c>
      <c r="Q24" s="2">
        <v>44653</v>
      </c>
      <c r="R24" s="2" t="str">
        <v xml:space="preserve"> </v>
      </c>
      <c r="S24" t="str">
        <v>06/01/2019-12/31/9999</v>
      </c>
      <c r="T24" t="str">
        <v>Anthem California Care HMO</v>
      </c>
    </row>
    <row r="25" spans="1:20" x14ac:dyDescent="0.25">
      <c r="A25" s="3">
        <v>38496</v>
      </c>
      <c r="B25">
        <v>552909097</v>
      </c>
      <c r="C25" t="s">
        <v>967</v>
      </c>
      <c r="D25" t="s">
        <v>968</v>
      </c>
      <c r="E25" t="s">
        <v>969</v>
      </c>
      <c r="F25" s="2">
        <v>43466</v>
      </c>
      <c r="H25" t="str" cm="1">
        <f t="array" aca="1" ref="H25" ca="1">CELL("address",_xlfn.XLOOKUP(A25,Sheet1!C:C,Sheet1!C:C))</f>
        <v>[match.xlsx]Sheet1!$C$291</v>
      </c>
      <c r="I25" t="str" cm="1">
        <f t="array" ref="I25:T25">_xlfn.XLOOKUP(A25,Sheet1!C:C,Sheet1!A:L)</f>
        <v>Leon</v>
      </c>
      <c r="J25" t="str">
        <v>Dolores</v>
      </c>
      <c r="K25">
        <v>38496</v>
      </c>
      <c r="L25" t="str">
        <v>951240705-SO CAL GAS</v>
      </c>
      <c r="M25">
        <v>2022</v>
      </c>
      <c r="N25" t="str">
        <v>Individual is enrolled in a COBRA or Retiree plan coverage that was not sent on a current post-enrollment reporting year import</v>
      </c>
      <c r="O25" t="str">
        <v xml:space="preserve"> </v>
      </c>
      <c r="P25" t="str">
        <v xml:space="preserve"> </v>
      </c>
      <c r="Q25" s="2">
        <v>44653</v>
      </c>
      <c r="R25" s="2" t="str">
        <v xml:space="preserve"> </v>
      </c>
      <c r="S25" t="str">
        <v>01/01/2018-12/31/9999</v>
      </c>
      <c r="T25" t="str">
        <v>Anthem California Care HMO</v>
      </c>
    </row>
    <row r="26" spans="1:20" x14ac:dyDescent="0.25">
      <c r="A26" s="3">
        <v>49711</v>
      </c>
      <c r="B26">
        <v>567233062</v>
      </c>
      <c r="C26" t="s">
        <v>970</v>
      </c>
      <c r="D26" t="s">
        <v>971</v>
      </c>
      <c r="E26" t="s">
        <v>46</v>
      </c>
      <c r="F26" s="2">
        <v>43101</v>
      </c>
      <c r="H26" t="str" cm="1">
        <f t="array" aca="1" ref="H26" ca="1">CELL("address",_xlfn.XLOOKUP(A26,Sheet1!C:C,Sheet1!C:C))</f>
        <v>[match.xlsx]Sheet1!$C$429</v>
      </c>
      <c r="I26" t="str" cm="1">
        <f t="array" ref="I26:T26">_xlfn.XLOOKUP(A26,Sheet1!C:C,Sheet1!A:L)</f>
        <v>Realivasquez</v>
      </c>
      <c r="J26" t="str">
        <v>Leo</v>
      </c>
      <c r="K26">
        <v>49711</v>
      </c>
      <c r="L26" t="str">
        <v>951240705-SO CAL GAS</v>
      </c>
      <c r="M26">
        <v>2022</v>
      </c>
      <c r="N26" t="str">
        <v>Individual is enrolled in a COBRA or Retiree plan coverage that was not sent on a current post-enrollment reporting year import</v>
      </c>
      <c r="O26" t="str">
        <v xml:space="preserve"> </v>
      </c>
      <c r="P26" t="str">
        <v xml:space="preserve"> </v>
      </c>
      <c r="Q26" s="2">
        <v>44653</v>
      </c>
      <c r="R26" s="2" t="str">
        <v xml:space="preserve"> </v>
      </c>
      <c r="S26" t="str">
        <v>01/01/2018-12/31/9999</v>
      </c>
      <c r="T26" t="str">
        <v>Anthem PPO Out-of-CA</v>
      </c>
    </row>
    <row r="27" spans="1:20" x14ac:dyDescent="0.25">
      <c r="A27" s="3">
        <v>34684</v>
      </c>
      <c r="B27">
        <v>548130391</v>
      </c>
      <c r="C27" t="s">
        <v>432</v>
      </c>
      <c r="D27" t="s">
        <v>431</v>
      </c>
      <c r="E27" t="s">
        <v>31</v>
      </c>
      <c r="F27" s="2">
        <v>43525</v>
      </c>
      <c r="H27" t="str" cm="1">
        <f t="array" aca="1" ref="H27" ca="1">CELL("address",_xlfn.XLOOKUP(A27,Sheet1!C:C,Sheet1!C:C))</f>
        <v>[match.xlsx]Sheet1!$C$216</v>
      </c>
      <c r="I27" t="str" cm="1">
        <f t="array" ref="I27:T27">_xlfn.XLOOKUP(A27,Sheet1!C:C,Sheet1!A:L)</f>
        <v>Hernandez</v>
      </c>
      <c r="J27" t="str">
        <v>Daniel</v>
      </c>
      <c r="K27">
        <v>34684</v>
      </c>
      <c r="L27" t="str">
        <v>951240705-SO CAL GAS</v>
      </c>
      <c r="M27">
        <v>2022</v>
      </c>
      <c r="N27" t="str">
        <v>Individual is enrolled in a COBRA or Retiree plan coverage that was not sent on a current post-enrollment reporting year import</v>
      </c>
      <c r="O27" t="str">
        <v xml:space="preserve"> </v>
      </c>
      <c r="P27" t="str">
        <v xml:space="preserve"> </v>
      </c>
      <c r="Q27" s="2">
        <v>44653</v>
      </c>
      <c r="R27" s="2" t="str">
        <v xml:space="preserve"> </v>
      </c>
      <c r="S27" t="str">
        <v>03/01/2019-12/31/9999</v>
      </c>
      <c r="T27" t="str">
        <v>Anthem California Care HMO</v>
      </c>
    </row>
    <row r="28" spans="1:20" x14ac:dyDescent="0.25">
      <c r="A28" s="3">
        <v>48917</v>
      </c>
      <c r="B28">
        <v>566253630</v>
      </c>
      <c r="C28" t="s">
        <v>172</v>
      </c>
      <c r="D28" t="s">
        <v>171</v>
      </c>
      <c r="E28" t="s">
        <v>31</v>
      </c>
      <c r="F28" s="2">
        <v>43374</v>
      </c>
      <c r="H28" t="str" cm="1">
        <f t="array" aca="1" ref="H28" ca="1">CELL("address",_xlfn.XLOOKUP(A28,Sheet1!C:C,Sheet1!C:C))</f>
        <v>[match.xlsx]Sheet1!$C$69</v>
      </c>
      <c r="I28" t="str" cm="1">
        <f t="array" ref="I28:T28">_xlfn.XLOOKUP(A28,Sheet1!C:C,Sheet1!A:L)</f>
        <v>Campa</v>
      </c>
      <c r="J28" t="str">
        <v>Elva</v>
      </c>
      <c r="K28">
        <v>48917</v>
      </c>
      <c r="L28" t="str">
        <v>951240705-SO CAL GAS</v>
      </c>
      <c r="M28">
        <v>2022</v>
      </c>
      <c r="N28" t="str">
        <v>Individual is enrolled in a COBRA or Retiree plan coverage that was not sent on a current post-enrollment reporting year import</v>
      </c>
      <c r="O28" t="str">
        <v xml:space="preserve"> </v>
      </c>
      <c r="P28" t="str">
        <v xml:space="preserve"> </v>
      </c>
      <c r="Q28" s="2">
        <v>44653</v>
      </c>
      <c r="R28" s="2" t="str">
        <v xml:space="preserve"> </v>
      </c>
      <c r="S28" t="str">
        <v>10/01/2018-12/31/9999</v>
      </c>
      <c r="T28" t="str">
        <v>Anthem California Care HMO</v>
      </c>
    </row>
    <row r="29" spans="1:20" x14ac:dyDescent="0.25">
      <c r="A29" s="3">
        <v>54815</v>
      </c>
      <c r="B29">
        <v>573723494</v>
      </c>
      <c r="C29" t="s">
        <v>972</v>
      </c>
      <c r="D29" t="s">
        <v>973</v>
      </c>
      <c r="E29" t="s">
        <v>969</v>
      </c>
      <c r="F29" s="2">
        <v>44348</v>
      </c>
      <c r="H29" t="str" cm="1">
        <f t="array" aca="1" ref="H29" ca="1">CELL("address",_xlfn.XLOOKUP(A29,Sheet1!C:C,Sheet1!C:C))</f>
        <v>[match.xlsx]Sheet1!$C$469</v>
      </c>
      <c r="I29" t="str" cm="1">
        <f t="array" ref="I29:T29">_xlfn.XLOOKUP(A29,Sheet1!C:C,Sheet1!A:L)</f>
        <v>Sagouspe</v>
      </c>
      <c r="J29" t="str">
        <v>Barry</v>
      </c>
      <c r="K29">
        <v>54815</v>
      </c>
      <c r="L29" t="str">
        <v>951240705-SO CAL GAS</v>
      </c>
      <c r="M29">
        <v>2022</v>
      </c>
      <c r="N29" t="str">
        <v>Individual is enrolled in a COBRA or Retiree plan coverage that was not sent on a current post-enrollment reporting year import</v>
      </c>
      <c r="O29" t="str">
        <v xml:space="preserve"> </v>
      </c>
      <c r="P29" t="str">
        <v xml:space="preserve"> </v>
      </c>
      <c r="Q29" s="2">
        <v>44653</v>
      </c>
      <c r="R29" s="2" t="str">
        <v xml:space="preserve"> </v>
      </c>
      <c r="S29" t="str">
        <v>09/01/2018-12/31/9999</v>
      </c>
      <c r="T29" t="str">
        <v>Anthem Health Care Plus+</v>
      </c>
    </row>
    <row r="30" spans="1:20" x14ac:dyDescent="0.25">
      <c r="A30" s="3">
        <v>36165</v>
      </c>
      <c r="B30">
        <v>549929329</v>
      </c>
      <c r="C30" t="s">
        <v>974</v>
      </c>
      <c r="D30" t="s">
        <v>975</v>
      </c>
      <c r="E30" t="s">
        <v>969</v>
      </c>
      <c r="F30" s="2">
        <v>43556</v>
      </c>
      <c r="H30" t="str" cm="1">
        <f t="array" aca="1" ref="H30" ca="1">CELL("address",_xlfn.XLOOKUP(A30,Sheet1!C:C,Sheet1!C:C))</f>
        <v>[match.xlsx]Sheet1!$C$42</v>
      </c>
      <c r="I30" t="str" cm="1">
        <f t="array" ref="I30:T30">_xlfn.XLOOKUP(A30,Sheet1!C:C,Sheet1!A:L)</f>
        <v>Bisetti</v>
      </c>
      <c r="J30" t="str">
        <v>Rico</v>
      </c>
      <c r="K30">
        <v>36165</v>
      </c>
      <c r="L30" t="str">
        <v>951240705-SO CAL GAS</v>
      </c>
      <c r="M30">
        <v>2022</v>
      </c>
      <c r="N30" t="str">
        <v>Individual is enrolled in a COBRA or Retiree plan coverage that was not sent on a current post-enrollment reporting year import</v>
      </c>
      <c r="O30" t="str">
        <v xml:space="preserve"> </v>
      </c>
      <c r="P30" t="str">
        <v xml:space="preserve"> </v>
      </c>
      <c r="Q30" s="2">
        <v>44653</v>
      </c>
      <c r="R30" s="2" t="str">
        <v xml:space="preserve"> </v>
      </c>
      <c r="S30" t="str">
        <v>01/01/2019-12/31/9999</v>
      </c>
      <c r="T30" t="str">
        <v>Anthem Health Care Plus+</v>
      </c>
    </row>
    <row r="31" spans="1:20" x14ac:dyDescent="0.25">
      <c r="A31" s="3">
        <v>39519</v>
      </c>
      <c r="B31">
        <v>554359212</v>
      </c>
      <c r="C31" t="s">
        <v>397</v>
      </c>
      <c r="D31" t="s">
        <v>564</v>
      </c>
      <c r="E31" t="s">
        <v>31</v>
      </c>
      <c r="F31" s="2">
        <v>43739</v>
      </c>
      <c r="H31" t="str" cm="1">
        <f t="array" aca="1" ref="H31" ca="1">CELL("address",_xlfn.XLOOKUP(A31,Sheet1!C:C,Sheet1!C:C))</f>
        <v>[match.xlsx]Sheet1!$C$312</v>
      </c>
      <c r="I31" t="str" cm="1">
        <f t="array" ref="I31:T31">_xlfn.XLOOKUP(A31,Sheet1!C:C,Sheet1!A:L)</f>
        <v>Lopez</v>
      </c>
      <c r="J31" t="str">
        <v>Maria</v>
      </c>
      <c r="K31">
        <v>39519</v>
      </c>
      <c r="L31" t="str">
        <v>951240705-SO CAL GAS</v>
      </c>
      <c r="M31">
        <v>2022</v>
      </c>
      <c r="N31" t="str">
        <v>Individual is enrolled in a COBRA or Retiree plan coverage that was not sent on a current post-enrollment reporting year import</v>
      </c>
      <c r="O31" t="str">
        <v xml:space="preserve"> </v>
      </c>
      <c r="P31" t="str">
        <v xml:space="preserve"> </v>
      </c>
      <c r="Q31" s="2">
        <v>44653</v>
      </c>
      <c r="R31" s="2" t="str">
        <v xml:space="preserve"> </v>
      </c>
      <c r="S31" t="str">
        <v>10/01/2019-12/31/9999</v>
      </c>
      <c r="T31" t="str">
        <v>Anthem California Care HMO</v>
      </c>
    </row>
    <row r="32" spans="1:20" x14ac:dyDescent="0.25">
      <c r="A32" s="3">
        <v>51139</v>
      </c>
      <c r="B32">
        <v>569020653</v>
      </c>
      <c r="C32" t="s">
        <v>976</v>
      </c>
      <c r="D32" t="s">
        <v>977</v>
      </c>
      <c r="E32" t="s">
        <v>966</v>
      </c>
      <c r="F32" s="2">
        <v>43800</v>
      </c>
      <c r="H32" t="str" cm="1">
        <f t="array" aca="1" ref="H32" ca="1">CELL("address",_xlfn.XLOOKUP(A32,Sheet1!C:C,Sheet1!C:C))</f>
        <v>[match.xlsx]Sheet1!$C$142</v>
      </c>
      <c r="I32" t="str" cm="1">
        <f t="array" ref="I32:T32">_xlfn.XLOOKUP(A32,Sheet1!C:C,Sheet1!A:L)</f>
        <v>Faux</v>
      </c>
      <c r="J32" t="str">
        <v>Sandra</v>
      </c>
      <c r="K32">
        <v>51139</v>
      </c>
      <c r="L32" t="str">
        <v>951240705-SO CAL GAS</v>
      </c>
      <c r="M32">
        <v>2022</v>
      </c>
      <c r="N32" t="str">
        <v>Individual is enrolled in a COBRA or Retiree plan coverage that was not sent on a current post-enrollment reporting year import</v>
      </c>
      <c r="O32" t="str">
        <v xml:space="preserve"> </v>
      </c>
      <c r="P32" t="str">
        <v xml:space="preserve"> </v>
      </c>
      <c r="Q32" s="2">
        <v>44653</v>
      </c>
      <c r="R32" s="2" t="str">
        <v xml:space="preserve"> </v>
      </c>
      <c r="S32" t="str">
        <v>01/01/2019-12/31/9999</v>
      </c>
      <c r="T32" t="str">
        <v>Anthem California Care HMO</v>
      </c>
    </row>
    <row r="33" spans="1:20" x14ac:dyDescent="0.25">
      <c r="A33" s="3">
        <v>61820</v>
      </c>
      <c r="B33">
        <v>564925365</v>
      </c>
      <c r="C33" t="s">
        <v>33</v>
      </c>
      <c r="D33" t="s">
        <v>32</v>
      </c>
      <c r="E33" t="s">
        <v>969</v>
      </c>
      <c r="F33" s="2">
        <v>43617</v>
      </c>
      <c r="H33" t="str" cm="1">
        <f t="array" aca="1" ref="H33" ca="1">CELL("address",_xlfn.XLOOKUP(A33,Sheet1!C:C,Sheet1!C:C))</f>
        <v>[match.xlsx]Sheet1!$C$7</v>
      </c>
      <c r="I33" t="str" cm="1">
        <f t="array" ref="I33:T33">_xlfn.XLOOKUP(A33,Sheet1!C:C,Sheet1!A:L)</f>
        <v>Alvarado</v>
      </c>
      <c r="J33" t="str">
        <v>Juan</v>
      </c>
      <c r="K33">
        <v>61820</v>
      </c>
      <c r="L33" t="str">
        <v>951240705-SO CAL GAS</v>
      </c>
      <c r="M33">
        <v>2022</v>
      </c>
      <c r="N33" t="str">
        <v>Individual is enrolled in a COBRA or Retiree plan coverage that was not sent on a current post-enrollment reporting year import</v>
      </c>
      <c r="O33" t="str">
        <v xml:space="preserve"> </v>
      </c>
      <c r="P33" t="str">
        <v xml:space="preserve"> </v>
      </c>
      <c r="Q33" s="2">
        <v>44653</v>
      </c>
      <c r="R33" s="2" t="str">
        <v xml:space="preserve"> </v>
      </c>
      <c r="S33" t="str">
        <v>03/01/2018-12/31/9999</v>
      </c>
      <c r="T33" t="str">
        <v>Anthem California Care HMO</v>
      </c>
    </row>
    <row r="34" spans="1:20" x14ac:dyDescent="0.25">
      <c r="A34" s="3">
        <v>49787</v>
      </c>
      <c r="B34">
        <v>567354894</v>
      </c>
      <c r="C34" t="s">
        <v>84</v>
      </c>
      <c r="D34" t="s">
        <v>471</v>
      </c>
      <c r="E34" t="s">
        <v>31</v>
      </c>
      <c r="F34" s="2">
        <v>43586</v>
      </c>
      <c r="H34" t="str" cm="1">
        <f t="array" aca="1" ref="H34" ca="1">CELL("address",_xlfn.XLOOKUP(A34,Sheet1!C:C,Sheet1!C:C))</f>
        <v>[match.xlsx]Sheet1!$C$244</v>
      </c>
      <c r="I34" t="str" cm="1">
        <f t="array" ref="I34:T34">_xlfn.XLOOKUP(A34,Sheet1!C:C,Sheet1!A:L)</f>
        <v>Johnson</v>
      </c>
      <c r="J34" t="str">
        <v>Gary</v>
      </c>
      <c r="K34">
        <v>49787</v>
      </c>
      <c r="L34" t="str">
        <v>951240705-SO CAL GAS</v>
      </c>
      <c r="M34">
        <v>2022</v>
      </c>
      <c r="N34" t="str">
        <v>Individual is enrolled in a COBRA or Retiree plan coverage that was not sent on a current post-enrollment reporting year import</v>
      </c>
      <c r="O34" t="str">
        <v xml:space="preserve"> </v>
      </c>
      <c r="P34" t="str">
        <v xml:space="preserve"> </v>
      </c>
      <c r="Q34" s="2">
        <v>44653</v>
      </c>
      <c r="R34" s="2" t="str">
        <v xml:space="preserve"> </v>
      </c>
      <c r="S34" t="str">
        <v>05/01/2019-12/31/9999</v>
      </c>
      <c r="T34" t="str">
        <v>Anthem California Care HMO</v>
      </c>
    </row>
    <row r="35" spans="1:20" x14ac:dyDescent="0.25">
      <c r="A35" s="3">
        <v>36333</v>
      </c>
      <c r="B35">
        <v>550139451</v>
      </c>
      <c r="C35" t="s">
        <v>978</v>
      </c>
      <c r="D35" t="s">
        <v>979</v>
      </c>
      <c r="E35" t="s">
        <v>24</v>
      </c>
      <c r="F35" s="2">
        <v>43101</v>
      </c>
      <c r="H35" t="str" cm="1">
        <f t="array" aca="1" ref="H35" ca="1">CELL("address",_xlfn.XLOOKUP(A35,Sheet1!C:C,Sheet1!C:C))</f>
        <v>[match.xlsx]Sheet1!$C$509</v>
      </c>
      <c r="I35" t="str" cm="1">
        <f t="array" ref="I35:T35">_xlfn.XLOOKUP(A35,Sheet1!C:C,Sheet1!A:L)</f>
        <v>Sorrels</v>
      </c>
      <c r="J35" t="str">
        <v>Karen</v>
      </c>
      <c r="K35">
        <v>36333</v>
      </c>
      <c r="L35" t="str">
        <v>951240705-SO CAL GAS</v>
      </c>
      <c r="M35">
        <v>2022</v>
      </c>
      <c r="N35" t="str">
        <v>Individual is enrolled in a COBRA or Retiree plan coverage that was not sent on a current post-enrollment reporting year import</v>
      </c>
      <c r="O35" t="str">
        <v xml:space="preserve"> </v>
      </c>
      <c r="P35" t="str">
        <v xml:space="preserve"> </v>
      </c>
      <c r="Q35" s="2">
        <v>44653</v>
      </c>
      <c r="R35" s="2" t="str">
        <v xml:space="preserve"> </v>
      </c>
      <c r="S35" t="str">
        <v>01/01/2018-12/31/9999</v>
      </c>
      <c r="T35" t="str">
        <v>Anthem Health Care Plus+</v>
      </c>
    </row>
    <row r="36" spans="1:20" x14ac:dyDescent="0.25">
      <c r="A36" s="3">
        <v>44114</v>
      </c>
      <c r="B36">
        <v>560256200</v>
      </c>
      <c r="C36" t="s">
        <v>92</v>
      </c>
      <c r="D36" t="s">
        <v>296</v>
      </c>
      <c r="E36" t="s">
        <v>24</v>
      </c>
      <c r="F36" s="2">
        <v>43466</v>
      </c>
      <c r="H36" t="str" cm="1">
        <f t="array" aca="1" ref="H36" ca="1">CELL("address",_xlfn.XLOOKUP(A36,Sheet1!C:C,Sheet1!C:C))</f>
        <v>[match.xlsx]Sheet1!$C$135</v>
      </c>
      <c r="I36" t="str" cm="1">
        <f t="array" ref="I36:T36">_xlfn.XLOOKUP(A36,Sheet1!C:C,Sheet1!A:L)</f>
        <v>Eramela</v>
      </c>
      <c r="J36" t="str">
        <v>Eugene</v>
      </c>
      <c r="K36">
        <v>44114</v>
      </c>
      <c r="L36" t="str">
        <v>951240705-SO CAL GAS</v>
      </c>
      <c r="M36">
        <v>2022</v>
      </c>
      <c r="N36" t="str">
        <v>Individual is enrolled in a COBRA or Retiree plan coverage that was not sent on a current post-enrollment reporting year import</v>
      </c>
      <c r="O36" t="str">
        <v xml:space="preserve"> </v>
      </c>
      <c r="P36" t="str">
        <v xml:space="preserve"> </v>
      </c>
      <c r="Q36" s="2">
        <v>44653</v>
      </c>
      <c r="R36" s="2" t="str">
        <v xml:space="preserve"> </v>
      </c>
      <c r="S36" t="str">
        <v>01/01/2019-12/31/9999</v>
      </c>
      <c r="T36" t="str">
        <v>Anthem Health Care Plus+</v>
      </c>
    </row>
    <row r="37" spans="1:20" x14ac:dyDescent="0.25">
      <c r="A37" s="3">
        <v>49643</v>
      </c>
      <c r="B37">
        <v>567170980</v>
      </c>
      <c r="C37" t="s">
        <v>980</v>
      </c>
      <c r="D37" t="s">
        <v>981</v>
      </c>
      <c r="E37" t="s">
        <v>969</v>
      </c>
      <c r="F37" s="2">
        <v>44652</v>
      </c>
      <c r="H37" t="str" cm="1">
        <f t="array" aca="1" ref="H37" ca="1">CELL("address",_xlfn.XLOOKUP(A37,Sheet1!C:C,Sheet1!C:C))</f>
        <v>[match.xlsx]Sheet1!$C$478</v>
      </c>
      <c r="I37" t="str" cm="1">
        <f t="array" ref="I37:T37">_xlfn.XLOOKUP(A37,Sheet1!C:C,Sheet1!A:L)</f>
        <v>Schwarz</v>
      </c>
      <c r="J37" t="str">
        <v>David</v>
      </c>
      <c r="K37">
        <v>49643</v>
      </c>
      <c r="L37" t="str">
        <v>951240705-SO CAL GAS</v>
      </c>
      <c r="M37">
        <v>2022</v>
      </c>
      <c r="N37" t="str">
        <v>Individual is enrolled in a COBRA or Retiree plan coverage that was not sent on a current post-enrollment reporting year import</v>
      </c>
      <c r="O37" t="str">
        <v xml:space="preserve"> </v>
      </c>
      <c r="P37" t="str">
        <v xml:space="preserve"> </v>
      </c>
      <c r="Q37" s="2">
        <v>44653</v>
      </c>
      <c r="R37" s="2" t="str">
        <v xml:space="preserve"> </v>
      </c>
      <c r="S37" t="str">
        <v>10/01/2018-03/31/2022</v>
      </c>
      <c r="T37" t="str">
        <v>Anthem Select HMO</v>
      </c>
    </row>
    <row r="38" spans="1:20" x14ac:dyDescent="0.25">
      <c r="A38" s="3">
        <v>40215</v>
      </c>
      <c r="B38">
        <v>555110377</v>
      </c>
      <c r="C38" t="s">
        <v>725</v>
      </c>
      <c r="D38" t="s">
        <v>724</v>
      </c>
      <c r="E38" t="s">
        <v>24</v>
      </c>
      <c r="F38" s="2">
        <v>43831</v>
      </c>
      <c r="H38" t="str" cm="1">
        <f t="array" aca="1" ref="H38" ca="1">CELL("address",_xlfn.XLOOKUP(A38,Sheet1!C:C,Sheet1!C:C))</f>
        <v>[match.xlsx]Sheet1!$C$433</v>
      </c>
      <c r="I38" t="str" cm="1">
        <f t="array" ref="I38:T38">_xlfn.XLOOKUP(A38,Sheet1!C:C,Sheet1!A:L)</f>
        <v>Requena</v>
      </c>
      <c r="J38" t="str">
        <v>Dina</v>
      </c>
      <c r="K38">
        <v>40215</v>
      </c>
      <c r="L38" t="str">
        <v>951240705-SO CAL GAS</v>
      </c>
      <c r="M38">
        <v>2022</v>
      </c>
      <c r="N38" t="str">
        <v>Individual is enrolled in a COBRA or Retiree plan coverage that was not sent on a current post-enrollment reporting year import</v>
      </c>
      <c r="O38" t="str">
        <v xml:space="preserve"> </v>
      </c>
      <c r="P38" t="str">
        <v xml:space="preserve"> </v>
      </c>
      <c r="Q38" s="2">
        <v>44653</v>
      </c>
      <c r="R38" s="2" t="str">
        <v xml:space="preserve"> </v>
      </c>
      <c r="S38" t="str">
        <v>01/01/2020-12/31/9999</v>
      </c>
      <c r="T38" t="str">
        <v>Anthem Health Care Plus+</v>
      </c>
    </row>
    <row r="39" spans="1:20" x14ac:dyDescent="0.25">
      <c r="A39" s="3">
        <v>53592</v>
      </c>
      <c r="B39">
        <v>572257567</v>
      </c>
      <c r="C39" t="s">
        <v>982</v>
      </c>
      <c r="D39" t="s">
        <v>983</v>
      </c>
      <c r="E39" t="s">
        <v>31</v>
      </c>
      <c r="F39" s="2">
        <v>43101</v>
      </c>
      <c r="H39" t="str" cm="1">
        <f t="array" aca="1" ref="H39" ca="1">CELL("address",_xlfn.XLOOKUP(A39,Sheet1!C:C,Sheet1!C:C))</f>
        <v>[match.xlsx]Sheet1!$C$136</v>
      </c>
      <c r="I39" t="str" cm="1">
        <f t="array" ref="I39:T39">_xlfn.XLOOKUP(A39,Sheet1!C:C,Sheet1!A:L)</f>
        <v>Eschagary</v>
      </c>
      <c r="J39" t="str">
        <v>Richard</v>
      </c>
      <c r="K39">
        <v>53592</v>
      </c>
      <c r="L39" t="str">
        <v>951240705-SO CAL GAS</v>
      </c>
      <c r="M39">
        <v>2022</v>
      </c>
      <c r="N39" t="str">
        <v>Individual is enrolled in a COBRA or Retiree plan coverage that was not sent on a current post-enrollment reporting year import</v>
      </c>
      <c r="O39" t="str">
        <v xml:space="preserve"> </v>
      </c>
      <c r="P39" t="str">
        <v xml:space="preserve"> </v>
      </c>
      <c r="Q39" s="2">
        <v>44653</v>
      </c>
      <c r="R39" s="2" t="str">
        <v xml:space="preserve"> </v>
      </c>
      <c r="S39" t="str">
        <v>01/01/2018-12/31/9999</v>
      </c>
      <c r="T39" t="str">
        <v>Anthem California Care HMO</v>
      </c>
    </row>
    <row r="40" spans="1:20" x14ac:dyDescent="0.25">
      <c r="A40" s="3">
        <v>43018</v>
      </c>
      <c r="B40">
        <v>558801853</v>
      </c>
      <c r="C40" t="s">
        <v>984</v>
      </c>
      <c r="D40" t="s">
        <v>985</v>
      </c>
      <c r="E40" t="s">
        <v>24</v>
      </c>
      <c r="F40" s="2">
        <v>43101</v>
      </c>
      <c r="H40" t="str" cm="1">
        <f t="array" aca="1" ref="H40" ca="1">CELL("address",_xlfn.XLOOKUP(A40,Sheet1!C:C,Sheet1!C:C))</f>
        <v>[match.xlsx]Sheet1!$C$323</v>
      </c>
      <c r="I40" t="str" cm="1">
        <f t="array" ref="I40:T40">_xlfn.XLOOKUP(A40,Sheet1!C:C,Sheet1!A:L)</f>
        <v>Manoogian</v>
      </c>
      <c r="J40" t="str">
        <v>Michelle</v>
      </c>
      <c r="K40">
        <v>43018</v>
      </c>
      <c r="L40" t="str">
        <v>951240705-SO CAL GAS</v>
      </c>
      <c r="M40">
        <v>2022</v>
      </c>
      <c r="N40" t="str">
        <v>Individual is enrolled in a COBRA or Retiree plan coverage that was not sent on a current post-enrollment reporting year import</v>
      </c>
      <c r="O40" t="str">
        <v xml:space="preserve"> </v>
      </c>
      <c r="P40" t="str">
        <v xml:space="preserve"> </v>
      </c>
      <c r="Q40" s="2">
        <v>44653</v>
      </c>
      <c r="R40" s="2" t="str">
        <v xml:space="preserve"> </v>
      </c>
      <c r="S40" t="str">
        <v>01/01/2018-12/31/9999</v>
      </c>
      <c r="T40" t="str">
        <v>Anthem Health Care Plus+</v>
      </c>
    </row>
    <row r="41" spans="1:20" x14ac:dyDescent="0.25">
      <c r="A41" s="3">
        <v>48815</v>
      </c>
      <c r="B41">
        <v>566085297</v>
      </c>
      <c r="C41" t="s">
        <v>88</v>
      </c>
      <c r="D41" t="s">
        <v>415</v>
      </c>
      <c r="E41" t="s">
        <v>24</v>
      </c>
      <c r="F41" s="2">
        <v>44593</v>
      </c>
      <c r="H41" t="str" cm="1">
        <f t="array" aca="1" ref="H41" ca="1">CELL("address",_xlfn.XLOOKUP(A41,Sheet1!C:C,Sheet1!C:C))</f>
        <v>[match.xlsx]Sheet1!$C$205</v>
      </c>
      <c r="I41" t="str" cm="1">
        <f t="array" ref="I41:T41">_xlfn.XLOOKUP(A41,Sheet1!C:C,Sheet1!A:L)</f>
        <v>Hart</v>
      </c>
      <c r="J41" t="str">
        <v>William</v>
      </c>
      <c r="K41">
        <v>48815</v>
      </c>
      <c r="L41" t="str">
        <v>951240705-SO CAL GAS</v>
      </c>
      <c r="M41">
        <v>2022</v>
      </c>
      <c r="N41" t="str">
        <v>Individual is enrolled in a COBRA or Retiree plan coverage that was not sent on a current post-enrollment reporting year import</v>
      </c>
      <c r="O41" t="str">
        <v xml:space="preserve"> </v>
      </c>
      <c r="P41" t="str">
        <v xml:space="preserve"> </v>
      </c>
      <c r="Q41" s="2">
        <v>44653</v>
      </c>
      <c r="R41" s="2" t="str">
        <v xml:space="preserve"> </v>
      </c>
      <c r="S41" t="str">
        <v>01/01/2020-02/28/2022</v>
      </c>
      <c r="T41" t="str">
        <v>Anthem Health Care Plus+</v>
      </c>
    </row>
    <row r="42" spans="1:20" x14ac:dyDescent="0.25">
      <c r="A42" s="3">
        <v>47289</v>
      </c>
      <c r="B42">
        <v>564069940</v>
      </c>
      <c r="C42" t="s">
        <v>656</v>
      </c>
      <c r="D42" t="s">
        <v>655</v>
      </c>
      <c r="E42" t="s">
        <v>24</v>
      </c>
      <c r="F42" s="2">
        <v>43922</v>
      </c>
      <c r="H42" t="str" cm="1">
        <f t="array" aca="1" ref="H42" ca="1">CELL("address",_xlfn.XLOOKUP(A42,Sheet1!C:C,Sheet1!C:C))</f>
        <v>[match.xlsx]Sheet1!$C$377</v>
      </c>
      <c r="I42" t="str" cm="1">
        <f t="array" ref="I42:T42">_xlfn.XLOOKUP(A42,Sheet1!C:C,Sheet1!A:L)</f>
        <v>Neiman</v>
      </c>
      <c r="J42" t="str">
        <v>Shaun</v>
      </c>
      <c r="K42">
        <v>47289</v>
      </c>
      <c r="L42" t="str">
        <v>951240705-SO CAL GAS</v>
      </c>
      <c r="M42">
        <v>2022</v>
      </c>
      <c r="N42" t="str">
        <v>Individual is enrolled in a COBRA or Retiree plan coverage that was not sent on a current post-enrollment reporting year import</v>
      </c>
      <c r="O42" t="str">
        <v xml:space="preserve"> </v>
      </c>
      <c r="P42" t="str">
        <v xml:space="preserve"> </v>
      </c>
      <c r="Q42" s="2">
        <v>44653</v>
      </c>
      <c r="R42" s="2" t="str">
        <v xml:space="preserve"> </v>
      </c>
      <c r="S42" t="str">
        <v>04/01/2020-12/31/9999</v>
      </c>
      <c r="T42" t="str">
        <v>Anthem Health Care Plus+</v>
      </c>
    </row>
    <row r="43" spans="1:20" x14ac:dyDescent="0.25">
      <c r="A43" s="3">
        <v>25248</v>
      </c>
      <c r="B43">
        <v>41625085</v>
      </c>
      <c r="C43" t="s">
        <v>196</v>
      </c>
      <c r="D43" t="s">
        <v>560</v>
      </c>
      <c r="E43" t="s">
        <v>46</v>
      </c>
      <c r="F43" s="2">
        <v>43374</v>
      </c>
      <c r="H43" t="str" cm="1">
        <f t="array" aca="1" ref="H43" ca="1">CELL("address",_xlfn.XLOOKUP(A43,Sheet1!C:C,Sheet1!C:C))</f>
        <v>[match.xlsx]Sheet1!$C$309</v>
      </c>
      <c r="I43" t="str" cm="1">
        <f t="array" ref="I43:T43">_xlfn.XLOOKUP(A43,Sheet1!C:C,Sheet1!A:L)</f>
        <v>Logan</v>
      </c>
      <c r="J43" t="str">
        <v>Nancy</v>
      </c>
      <c r="K43">
        <v>25248</v>
      </c>
      <c r="L43" t="str">
        <v>951240705-SO CAL GAS</v>
      </c>
      <c r="M43">
        <v>2022</v>
      </c>
      <c r="N43" t="str">
        <v>Individual is enrolled in a COBRA or Retiree plan coverage that was not sent on a current post-enrollment reporting year import</v>
      </c>
      <c r="O43" t="str">
        <v xml:space="preserve"> </v>
      </c>
      <c r="P43" t="str">
        <v xml:space="preserve"> </v>
      </c>
      <c r="Q43" s="2">
        <v>44653</v>
      </c>
      <c r="R43" s="2" t="str">
        <v xml:space="preserve"> </v>
      </c>
      <c r="S43" t="str">
        <v>10/01/2018-12/31/9999</v>
      </c>
      <c r="T43" t="str">
        <v>Anthem PPO Out-of-CA</v>
      </c>
    </row>
    <row r="44" spans="1:20" x14ac:dyDescent="0.25">
      <c r="A44" s="3">
        <v>35508</v>
      </c>
      <c r="B44">
        <v>549047918</v>
      </c>
      <c r="C44" t="s">
        <v>986</v>
      </c>
      <c r="D44" t="s">
        <v>987</v>
      </c>
      <c r="E44" t="s">
        <v>969</v>
      </c>
      <c r="F44" s="2">
        <v>43466</v>
      </c>
      <c r="H44" t="str" cm="1">
        <f t="array" aca="1" ref="H44" ca="1">CELL("address",_xlfn.XLOOKUP(A44,Sheet1!C:C,Sheet1!C:C))</f>
        <v>[match.xlsx]Sheet1!$C$366</v>
      </c>
      <c r="I44" t="str" cm="1">
        <f t="array" ref="I44:T44">_xlfn.XLOOKUP(A44,Sheet1!C:C,Sheet1!A:L)</f>
        <v>Moret</v>
      </c>
      <c r="J44" t="str">
        <v>Oliver</v>
      </c>
      <c r="K44">
        <v>35508</v>
      </c>
      <c r="L44" t="str">
        <v>951240705-SO CAL GAS</v>
      </c>
      <c r="M44">
        <v>2022</v>
      </c>
      <c r="N44" t="str">
        <v>Individual is enrolled in a COBRA or Retiree plan coverage that was not sent on a current post-enrollment reporting year import</v>
      </c>
      <c r="O44" t="str">
        <v xml:space="preserve"> </v>
      </c>
      <c r="P44" t="str">
        <v xml:space="preserve"> </v>
      </c>
      <c r="Q44" s="2">
        <v>44653</v>
      </c>
      <c r="R44" s="2" t="str">
        <v xml:space="preserve"> </v>
      </c>
      <c r="S44" t="str">
        <v>01/01/2019-12/31/9999</v>
      </c>
      <c r="T44" t="str">
        <v>Anthem Select HMO</v>
      </c>
    </row>
    <row r="45" spans="1:20" x14ac:dyDescent="0.25">
      <c r="A45" s="3">
        <v>48332</v>
      </c>
      <c r="B45">
        <v>565377527</v>
      </c>
      <c r="C45" t="s">
        <v>519</v>
      </c>
      <c r="D45" t="s">
        <v>611</v>
      </c>
      <c r="E45" t="s">
        <v>969</v>
      </c>
      <c r="F45" s="2">
        <v>43831</v>
      </c>
      <c r="H45" t="str" cm="1">
        <f t="array" aca="1" ref="H45" ca="1">CELL("address",_xlfn.XLOOKUP(A45,Sheet1!C:C,Sheet1!C:C))</f>
        <v>[match.xlsx]Sheet1!$C$345</v>
      </c>
      <c r="I45" t="str" cm="1">
        <f t="array" ref="I45:T45">_xlfn.XLOOKUP(A45,Sheet1!C:C,Sheet1!A:L)</f>
        <v>Mcstravick</v>
      </c>
      <c r="J45" t="str">
        <v>James</v>
      </c>
      <c r="K45">
        <v>48332</v>
      </c>
      <c r="L45" t="str">
        <v>951240705-SO CAL GAS</v>
      </c>
      <c r="M45">
        <v>2022</v>
      </c>
      <c r="N45" t="str">
        <v>Individual is enrolled in a COBRA or Retiree plan coverage that was not sent on a current post-enrollment reporting year import</v>
      </c>
      <c r="O45" t="str">
        <v xml:space="preserve"> </v>
      </c>
      <c r="P45" t="str">
        <v xml:space="preserve"> </v>
      </c>
      <c r="Q45" s="2">
        <v>44653</v>
      </c>
      <c r="R45" s="2" t="str">
        <v xml:space="preserve"> </v>
      </c>
      <c r="S45" t="str">
        <v>10/01/2019-12/31/9999</v>
      </c>
      <c r="T45" t="str">
        <v>Anthem Health Care Plus+</v>
      </c>
    </row>
    <row r="46" spans="1:20" x14ac:dyDescent="0.25">
      <c r="A46" s="3">
        <v>34450</v>
      </c>
      <c r="B46">
        <v>547825354</v>
      </c>
      <c r="C46" t="s">
        <v>988</v>
      </c>
      <c r="D46" t="s">
        <v>989</v>
      </c>
      <c r="E46" t="s">
        <v>966</v>
      </c>
      <c r="F46" s="2">
        <v>43678</v>
      </c>
      <c r="H46" t="str" cm="1">
        <f t="array" aca="1" ref="H46" ca="1">CELL("address",_xlfn.XLOOKUP(A46,Sheet1!C:C,Sheet1!C:C))</f>
        <v>[match.xlsx]Sheet1!$C$473</v>
      </c>
      <c r="I46" t="str" cm="1">
        <f t="array" ref="I46:T46">_xlfn.XLOOKUP(A46,Sheet1!C:C,Sheet1!A:L)</f>
        <v>Sanchez</v>
      </c>
      <c r="J46" t="str">
        <v>Alfred</v>
      </c>
      <c r="K46">
        <v>34450</v>
      </c>
      <c r="L46" t="str">
        <v>951240705-SO CAL GAS</v>
      </c>
      <c r="M46">
        <v>2022</v>
      </c>
      <c r="N46" t="str">
        <v>Individual is enrolled in a COBRA or Retiree plan coverage that was not sent on a current post-enrollment reporting year import</v>
      </c>
      <c r="O46" t="str">
        <v xml:space="preserve"> </v>
      </c>
      <c r="P46" t="str">
        <v xml:space="preserve"> </v>
      </c>
      <c r="Q46" s="2">
        <v>44653</v>
      </c>
      <c r="R46" s="2" t="str">
        <v xml:space="preserve"> </v>
      </c>
      <c r="S46" t="str">
        <v>01/01/2019-12/31/9999</v>
      </c>
      <c r="T46" t="str">
        <v>Anthem Health Care Plus+</v>
      </c>
    </row>
    <row r="47" spans="1:20" x14ac:dyDescent="0.25">
      <c r="A47" s="3">
        <v>36014</v>
      </c>
      <c r="B47">
        <v>549677427</v>
      </c>
      <c r="C47" t="s">
        <v>92</v>
      </c>
      <c r="D47" t="s">
        <v>91</v>
      </c>
      <c r="E47" t="s">
        <v>24</v>
      </c>
      <c r="F47" s="2">
        <v>44105</v>
      </c>
      <c r="H47" t="str" cm="1">
        <f t="array" aca="1" ref="H47" ca="1">CELL("address",_xlfn.XLOOKUP(A47,Sheet1!C:C,Sheet1!C:C))</f>
        <v>[match.xlsx]Sheet1!$C$32</v>
      </c>
      <c r="I47" t="str" cm="1">
        <f t="array" ref="I47:T47">_xlfn.XLOOKUP(A47,Sheet1!C:C,Sheet1!A:L)</f>
        <v>Beltran</v>
      </c>
      <c r="J47" t="str">
        <v>Eugene</v>
      </c>
      <c r="K47">
        <v>36014</v>
      </c>
      <c r="L47" t="str">
        <v>951240705-SO CAL GAS</v>
      </c>
      <c r="M47">
        <v>2022</v>
      </c>
      <c r="N47" t="str">
        <v>Individual is enrolled in a COBRA or Retiree plan coverage that was not sent on a current post-enrollment reporting year import</v>
      </c>
      <c r="O47" t="str">
        <v xml:space="preserve"> </v>
      </c>
      <c r="P47" t="str">
        <v xml:space="preserve"> </v>
      </c>
      <c r="Q47" s="2">
        <v>44653</v>
      </c>
      <c r="R47" s="2" t="str">
        <v xml:space="preserve"> </v>
      </c>
      <c r="S47" t="str">
        <v>10/01/2020-12/31/9999</v>
      </c>
      <c r="T47" t="str">
        <v>Anthem Health Care Plus+</v>
      </c>
    </row>
    <row r="48" spans="1:20" x14ac:dyDescent="0.25">
      <c r="A48" s="3">
        <v>39399</v>
      </c>
      <c r="B48">
        <v>554159273</v>
      </c>
      <c r="C48" t="s">
        <v>74</v>
      </c>
      <c r="D48" t="s">
        <v>646</v>
      </c>
      <c r="E48" t="s">
        <v>31</v>
      </c>
      <c r="F48" s="2">
        <v>43617</v>
      </c>
      <c r="H48" t="str" cm="1">
        <f t="array" aca="1" ref="H48" ca="1">CELL("address",_xlfn.XLOOKUP(A48,Sheet1!C:C,Sheet1!C:C))</f>
        <v>[match.xlsx]Sheet1!$C$371</v>
      </c>
      <c r="I48" t="str" cm="1">
        <f t="array" ref="I48:T48">_xlfn.XLOOKUP(A48,Sheet1!C:C,Sheet1!A:L)</f>
        <v>Munoz</v>
      </c>
      <c r="J48" t="str">
        <v>John</v>
      </c>
      <c r="K48">
        <v>39399</v>
      </c>
      <c r="L48" t="str">
        <v>951240705-SO CAL GAS</v>
      </c>
      <c r="M48">
        <v>2022</v>
      </c>
      <c r="N48" t="str">
        <v>Individual is enrolled in a COBRA or Retiree plan coverage that was not sent on a current post-enrollment reporting year import</v>
      </c>
      <c r="O48" t="str">
        <v xml:space="preserve"> </v>
      </c>
      <c r="P48" t="str">
        <v xml:space="preserve"> </v>
      </c>
      <c r="Q48" s="2">
        <v>44653</v>
      </c>
      <c r="R48" s="2" t="str">
        <v xml:space="preserve"> </v>
      </c>
      <c r="S48" t="str">
        <v>06/01/2019-12/31/9999</v>
      </c>
      <c r="T48" t="str">
        <v>Anthem California Care HMO</v>
      </c>
    </row>
    <row r="49" spans="1:20" x14ac:dyDescent="0.25">
      <c r="A49" s="3">
        <v>33848</v>
      </c>
      <c r="B49">
        <v>547046783</v>
      </c>
      <c r="C49" t="s">
        <v>990</v>
      </c>
      <c r="D49" t="s">
        <v>991</v>
      </c>
      <c r="E49" t="s">
        <v>969</v>
      </c>
      <c r="F49" s="2">
        <v>44562</v>
      </c>
      <c r="H49" t="str" cm="1">
        <f t="array" aca="1" ref="H49" ca="1">CELL("address",_xlfn.XLOOKUP(A49,Sheet1!C:C,Sheet1!C:C))</f>
        <v>[match.xlsx]Sheet1!$C$66</v>
      </c>
      <c r="I49" t="str" cm="1">
        <f t="array" ref="I49:T49">_xlfn.XLOOKUP(A49,Sheet1!C:C,Sheet1!A:L)</f>
        <v>Cabrera</v>
      </c>
      <c r="J49" t="str">
        <v>Roberto</v>
      </c>
      <c r="K49">
        <v>33848</v>
      </c>
      <c r="L49" t="str">
        <v>951240705-SO CAL GAS</v>
      </c>
      <c r="M49">
        <v>2022</v>
      </c>
      <c r="N49" t="str">
        <v>Individual is enrolled in a COBRA or Retiree plan coverage that was not sent on a current post-enrollment reporting year import</v>
      </c>
      <c r="O49" t="str">
        <v xml:space="preserve"> </v>
      </c>
      <c r="P49" t="str">
        <v xml:space="preserve"> </v>
      </c>
      <c r="Q49" s="2">
        <v>44653</v>
      </c>
      <c r="R49" s="2" t="str">
        <v xml:space="preserve"> </v>
      </c>
      <c r="S49" t="str">
        <v>01/01/2018-12/31/9999</v>
      </c>
      <c r="T49" t="str">
        <v>Anthem California Care HMO</v>
      </c>
    </row>
    <row r="50" spans="1:20" x14ac:dyDescent="0.25">
      <c r="A50" s="3">
        <v>35658</v>
      </c>
      <c r="B50">
        <v>549255802</v>
      </c>
      <c r="C50" t="s">
        <v>432</v>
      </c>
      <c r="D50" t="s">
        <v>815</v>
      </c>
      <c r="E50" t="s">
        <v>31</v>
      </c>
      <c r="F50" s="2">
        <v>43770</v>
      </c>
      <c r="H50" t="str" cm="1">
        <f t="array" aca="1" ref="H50" ca="1">CELL("address",_xlfn.XLOOKUP(A50,Sheet1!C:C,Sheet1!C:C))</f>
        <v>[match.xlsx]Sheet1!$C$516</v>
      </c>
      <c r="I50" t="str" cm="1">
        <f t="array" ref="I50:T50">_xlfn.XLOOKUP(A50,Sheet1!C:C,Sheet1!A:L)</f>
        <v>Steele</v>
      </c>
      <c r="J50" t="str">
        <v>Daniel</v>
      </c>
      <c r="K50">
        <v>35658</v>
      </c>
      <c r="L50" t="str">
        <v>951240705-SO CAL GAS</v>
      </c>
      <c r="M50">
        <v>2022</v>
      </c>
      <c r="N50" t="str">
        <v>Individual is enrolled in a COBRA or Retiree plan coverage that was not sent on a current post-enrollment reporting year import</v>
      </c>
      <c r="O50" t="str">
        <v xml:space="preserve"> </v>
      </c>
      <c r="P50" t="str">
        <v xml:space="preserve"> </v>
      </c>
      <c r="Q50" s="2">
        <v>44653</v>
      </c>
      <c r="R50" s="2" t="str">
        <v xml:space="preserve"> </v>
      </c>
      <c r="S50" t="str">
        <v>11/01/2019-12/31/9999</v>
      </c>
      <c r="T50" t="str">
        <v>Anthem California Care HMO</v>
      </c>
    </row>
    <row r="51" spans="1:20" x14ac:dyDescent="0.25">
      <c r="A51" s="3">
        <v>51950</v>
      </c>
      <c r="B51">
        <v>570135025</v>
      </c>
      <c r="C51" t="s">
        <v>992</v>
      </c>
      <c r="D51" t="s">
        <v>993</v>
      </c>
      <c r="E51" t="s">
        <v>71</v>
      </c>
      <c r="F51" s="2">
        <v>43101</v>
      </c>
      <c r="H51" t="str" cm="1">
        <f t="array" aca="1" ref="H51" ca="1">CELL("address",_xlfn.XLOOKUP(A51,Sheet1!C:C,Sheet1!C:C))</f>
        <v>[match.xlsx]Sheet1!$C$437</v>
      </c>
      <c r="I51" t="str" cm="1">
        <f t="array" ref="I51:T51">_xlfn.XLOOKUP(A51,Sheet1!C:C,Sheet1!A:L)</f>
        <v>Reynoso</v>
      </c>
      <c r="J51" t="str">
        <v>Elvia</v>
      </c>
      <c r="K51">
        <v>51950</v>
      </c>
      <c r="L51" t="str">
        <v>951240705-SO CAL GAS</v>
      </c>
      <c r="M51">
        <v>2022</v>
      </c>
      <c r="N51" t="str">
        <v>Individual is enrolled in a COBRA or Retiree plan coverage that was not sent on a current post-enrollment reporting year import</v>
      </c>
      <c r="O51" t="str">
        <v xml:space="preserve"> </v>
      </c>
      <c r="P51" t="str">
        <v xml:space="preserve"> </v>
      </c>
      <c r="Q51" s="2">
        <v>44653</v>
      </c>
      <c r="R51" s="2" t="str">
        <v xml:space="preserve"> </v>
      </c>
      <c r="S51" t="str">
        <v>01/01/2018-12/31/9999</v>
      </c>
      <c r="T51" t="str">
        <v>Anthem Select HMO</v>
      </c>
    </row>
    <row r="52" spans="1:20" x14ac:dyDescent="0.25">
      <c r="A52" s="3">
        <v>26002</v>
      </c>
      <c r="B52">
        <v>147545551</v>
      </c>
      <c r="C52" t="s">
        <v>376</v>
      </c>
      <c r="D52" t="s">
        <v>310</v>
      </c>
      <c r="E52" t="s">
        <v>31</v>
      </c>
      <c r="F52" s="2">
        <v>43952</v>
      </c>
      <c r="H52" t="str" cm="1">
        <f t="array" aca="1" ref="H52" ca="1">CELL("address",_xlfn.XLOOKUP(A52,Sheet1!C:C,Sheet1!C:C))</f>
        <v>[match.xlsx]Sheet1!$C$183</v>
      </c>
      <c r="I52" t="str" cm="1">
        <f t="array" ref="I52:T52">_xlfn.XLOOKUP(A52,Sheet1!C:C,Sheet1!A:L)</f>
        <v>Gordon</v>
      </c>
      <c r="J52" t="str">
        <v>Harry</v>
      </c>
      <c r="K52">
        <v>26002</v>
      </c>
      <c r="L52" t="str">
        <v>951240705-SO CAL GAS</v>
      </c>
      <c r="M52">
        <v>2022</v>
      </c>
      <c r="N52" t="str">
        <v>Individual is enrolled in a COBRA or Retiree plan coverage that was not sent on a current post-enrollment reporting year import</v>
      </c>
      <c r="O52" t="str">
        <v xml:space="preserve"> </v>
      </c>
      <c r="P52" t="str">
        <v xml:space="preserve"> </v>
      </c>
      <c r="Q52" s="2">
        <v>44653</v>
      </c>
      <c r="R52" s="2" t="str">
        <v xml:space="preserve"> </v>
      </c>
      <c r="S52" t="str">
        <v>05/01/2020-12/31/9999</v>
      </c>
      <c r="T52" t="str">
        <v>Anthem California Care HMO</v>
      </c>
    </row>
    <row r="53" spans="1:20" x14ac:dyDescent="0.25">
      <c r="A53" s="3">
        <v>33853</v>
      </c>
      <c r="B53">
        <v>547060187</v>
      </c>
      <c r="C53" t="s">
        <v>994</v>
      </c>
      <c r="D53" t="s">
        <v>995</v>
      </c>
      <c r="E53" t="s">
        <v>71</v>
      </c>
      <c r="F53" s="2">
        <v>43282</v>
      </c>
      <c r="H53" t="str" cm="1">
        <f t="array" aca="1" ref="H53" ca="1">CELL("address",_xlfn.XLOOKUP(A53,Sheet1!C:C,Sheet1!C:C))</f>
        <v>[match.xlsx]Sheet1!$C$319</v>
      </c>
      <c r="I53" t="str" cm="1">
        <f t="array" ref="I53:T53">_xlfn.XLOOKUP(A53,Sheet1!C:C,Sheet1!A:L)</f>
        <v>Madera-Meza</v>
      </c>
      <c r="J53" t="str">
        <v>Olga</v>
      </c>
      <c r="K53">
        <v>33853</v>
      </c>
      <c r="L53" t="str">
        <v>951240705-SO CAL GAS</v>
      </c>
      <c r="M53">
        <v>2022</v>
      </c>
      <c r="N53" t="str">
        <v>Individual is enrolled in a COBRA or Retiree plan coverage that was not sent on a current post-enrollment reporting year import</v>
      </c>
      <c r="O53" t="str">
        <v xml:space="preserve"> </v>
      </c>
      <c r="P53" t="str">
        <v xml:space="preserve"> </v>
      </c>
      <c r="Q53" s="2">
        <v>44653</v>
      </c>
      <c r="R53" s="2" t="str">
        <v xml:space="preserve"> </v>
      </c>
      <c r="S53" t="str">
        <v>07/01/2018-12/31/9999</v>
      </c>
      <c r="T53" t="str">
        <v>Anthem Select HMO</v>
      </c>
    </row>
    <row r="54" spans="1:20" x14ac:dyDescent="0.25">
      <c r="A54" s="3">
        <v>29770</v>
      </c>
      <c r="B54">
        <v>455213372</v>
      </c>
      <c r="C54" t="s">
        <v>90</v>
      </c>
      <c r="D54" t="s">
        <v>612</v>
      </c>
      <c r="E54" t="s">
        <v>31</v>
      </c>
      <c r="F54" s="2">
        <v>43922</v>
      </c>
      <c r="H54" t="str" cm="1">
        <f t="array" aca="1" ref="H54" ca="1">CELL("address",_xlfn.XLOOKUP(A54,Sheet1!C:C,Sheet1!C:C))</f>
        <v>[match.xlsx]Sheet1!$C$346</v>
      </c>
      <c r="I54" t="str" cm="1">
        <f t="array" ref="I54:T54">_xlfn.XLOOKUP(A54,Sheet1!C:C,Sheet1!A:L)</f>
        <v>Means</v>
      </c>
      <c r="J54" t="str">
        <v>Joseph</v>
      </c>
      <c r="K54">
        <v>29770</v>
      </c>
      <c r="L54" t="str">
        <v>951240705-SO CAL GAS</v>
      </c>
      <c r="M54">
        <v>2022</v>
      </c>
      <c r="N54" t="str">
        <v>Individual is enrolled in a COBRA or Retiree plan coverage that was not sent on a current post-enrollment reporting year import</v>
      </c>
      <c r="O54" t="str">
        <v xml:space="preserve"> </v>
      </c>
      <c r="P54" t="str">
        <v xml:space="preserve"> </v>
      </c>
      <c r="Q54" s="2">
        <v>44653</v>
      </c>
      <c r="R54" s="2" t="str">
        <v xml:space="preserve"> </v>
      </c>
      <c r="S54" t="str">
        <v>04/01/2020-12/31/9999</v>
      </c>
      <c r="T54" t="str">
        <v>Anthem California Care HMO</v>
      </c>
    </row>
    <row r="55" spans="1:20" x14ac:dyDescent="0.25">
      <c r="A55" s="3">
        <v>53917</v>
      </c>
      <c r="B55">
        <v>572658943</v>
      </c>
      <c r="C55" t="s">
        <v>941</v>
      </c>
      <c r="D55" t="s">
        <v>996</v>
      </c>
      <c r="E55" t="s">
        <v>31</v>
      </c>
      <c r="F55" s="2">
        <v>43101</v>
      </c>
      <c r="H55" t="str" cm="1">
        <f t="array" aca="1" ref="H55" ca="1">CELL("address",_xlfn.XLOOKUP(A55,Sheet1!C:C,Sheet1!C:C))</f>
        <v>[match.xlsx]Sheet1!$C$153</v>
      </c>
      <c r="I55" t="str" cm="1">
        <f t="array" ref="I55:T55">_xlfn.XLOOKUP(A55,Sheet1!C:C,Sheet1!A:L)</f>
        <v>Followell</v>
      </c>
      <c r="J55" t="str">
        <v>Frank</v>
      </c>
      <c r="K55">
        <v>53917</v>
      </c>
      <c r="L55" t="str">
        <v>951240705-SO CAL GAS</v>
      </c>
      <c r="M55">
        <v>2022</v>
      </c>
      <c r="N55" t="str">
        <v>Individual is enrolled in a COBRA or Retiree plan coverage that was not sent on a current post-enrollment reporting year import</v>
      </c>
      <c r="O55" t="str">
        <v xml:space="preserve"> </v>
      </c>
      <c r="P55" t="str">
        <v xml:space="preserve"> </v>
      </c>
      <c r="Q55" s="2">
        <v>44653</v>
      </c>
      <c r="R55" s="2" t="str">
        <v xml:space="preserve"> </v>
      </c>
      <c r="S55" t="str">
        <v>01/01/2018-12/31/9999</v>
      </c>
      <c r="T55" t="str">
        <v>Anthem California Care HMO</v>
      </c>
    </row>
    <row r="56" spans="1:20" x14ac:dyDescent="0.25">
      <c r="A56" s="3">
        <v>52030</v>
      </c>
      <c r="B56">
        <v>570211641</v>
      </c>
      <c r="C56" t="s">
        <v>179</v>
      </c>
      <c r="D56" t="s">
        <v>178</v>
      </c>
      <c r="E56" t="s">
        <v>31</v>
      </c>
      <c r="F56" s="2">
        <v>43922</v>
      </c>
      <c r="H56" t="str" cm="1">
        <f t="array" aca="1" ref="H56" ca="1">CELL("address",_xlfn.XLOOKUP(A56,Sheet1!C:C,Sheet1!C:C))</f>
        <v>[match.xlsx]Sheet1!$C$72</v>
      </c>
      <c r="I56" t="str" cm="1">
        <f t="array" ref="I56:T56">_xlfn.XLOOKUP(A56,Sheet1!C:C,Sheet1!A:L)</f>
        <v>Cano</v>
      </c>
      <c r="J56" t="str">
        <v>Lisa</v>
      </c>
      <c r="K56">
        <v>52030</v>
      </c>
      <c r="L56" t="str">
        <v>951240705-SO CAL GAS</v>
      </c>
      <c r="M56">
        <v>2022</v>
      </c>
      <c r="N56" t="str">
        <v>Individual is enrolled in a COBRA or Retiree plan coverage that was not sent on a current post-enrollment reporting year import</v>
      </c>
      <c r="O56" t="str">
        <v xml:space="preserve"> </v>
      </c>
      <c r="P56" t="str">
        <v xml:space="preserve"> </v>
      </c>
      <c r="Q56" s="2">
        <v>44653</v>
      </c>
      <c r="R56" s="2" t="str">
        <v xml:space="preserve"> </v>
      </c>
      <c r="S56" t="str">
        <v>04/01/2020-12/31/9999</v>
      </c>
      <c r="T56" t="str">
        <v>Anthem California Care HMO</v>
      </c>
    </row>
    <row r="57" spans="1:20" x14ac:dyDescent="0.25">
      <c r="A57" s="3">
        <v>39179</v>
      </c>
      <c r="B57">
        <v>553883838</v>
      </c>
      <c r="C57" t="s">
        <v>934</v>
      </c>
      <c r="D57" t="s">
        <v>997</v>
      </c>
      <c r="E57" t="s">
        <v>24</v>
      </c>
      <c r="F57" s="2">
        <v>43466</v>
      </c>
      <c r="H57" t="str" cm="1">
        <f t="array" aca="1" ref="H57" ca="1">CELL("address",_xlfn.XLOOKUP(A57,Sheet1!C:C,Sheet1!C:C))</f>
        <v>[match.xlsx]Sheet1!$C$109</v>
      </c>
      <c r="I57" t="str" cm="1">
        <f t="array" ref="I57:T57">_xlfn.XLOOKUP(A57,Sheet1!C:C,Sheet1!A:L)</f>
        <v>Dahms</v>
      </c>
      <c r="J57" t="str">
        <v>Thomas</v>
      </c>
      <c r="K57">
        <v>39179</v>
      </c>
      <c r="L57" t="str">
        <v>951240705-SO CAL GAS</v>
      </c>
      <c r="M57">
        <v>2022</v>
      </c>
      <c r="N57" t="str">
        <v>Individual is enrolled in a COBRA or Retiree plan coverage that was not sent on a current post-enrollment reporting year import</v>
      </c>
      <c r="O57" t="str">
        <v xml:space="preserve"> </v>
      </c>
      <c r="P57" t="str">
        <v xml:space="preserve"> </v>
      </c>
      <c r="Q57" s="2">
        <v>44653</v>
      </c>
      <c r="R57" s="2" t="str">
        <v xml:space="preserve"> </v>
      </c>
      <c r="S57" t="str">
        <v>01/01/2019-12/31/9999</v>
      </c>
      <c r="T57" t="str">
        <v>Anthem Health Care Plus+</v>
      </c>
    </row>
    <row r="58" spans="1:20" x14ac:dyDescent="0.25">
      <c r="A58" s="3">
        <v>38980</v>
      </c>
      <c r="B58">
        <v>553537260</v>
      </c>
      <c r="C58" t="s">
        <v>591</v>
      </c>
      <c r="D58" t="s">
        <v>207</v>
      </c>
      <c r="E58" t="s">
        <v>31</v>
      </c>
      <c r="F58" s="2">
        <v>43800</v>
      </c>
      <c r="H58" t="str" cm="1">
        <f t="array" aca="1" ref="H58" ca="1">CELL("address",_xlfn.XLOOKUP(A58,Sheet1!C:C,Sheet1!C:C))</f>
        <v>[match.xlsx]Sheet1!$C$328</v>
      </c>
      <c r="I58" t="str" cm="1">
        <f t="array" ref="I58:T58">_xlfn.XLOOKUP(A58,Sheet1!C:C,Sheet1!A:L)</f>
        <v>Martin</v>
      </c>
      <c r="J58" t="str">
        <v>Tracey</v>
      </c>
      <c r="K58">
        <v>38980</v>
      </c>
      <c r="L58" t="str">
        <v>951240705-SO CAL GAS</v>
      </c>
      <c r="M58">
        <v>2022</v>
      </c>
      <c r="N58" t="str">
        <v>Individual is enrolled in a COBRA or Retiree plan coverage that was not sent on a current post-enrollment reporting year import</v>
      </c>
      <c r="O58" t="str">
        <v xml:space="preserve"> </v>
      </c>
      <c r="P58" t="str">
        <v xml:space="preserve"> </v>
      </c>
      <c r="Q58" s="2">
        <v>44653</v>
      </c>
      <c r="R58" s="2" t="str">
        <v xml:space="preserve"> </v>
      </c>
      <c r="S58" t="str">
        <v>12/01/2019-12/31/9999</v>
      </c>
      <c r="T58" t="str">
        <v>Anthem California Care HMO</v>
      </c>
    </row>
    <row r="59" spans="1:20" x14ac:dyDescent="0.25">
      <c r="A59" s="3">
        <v>37326</v>
      </c>
      <c r="B59">
        <v>551332577</v>
      </c>
      <c r="C59" t="s">
        <v>183</v>
      </c>
      <c r="D59" t="s">
        <v>182</v>
      </c>
      <c r="E59" t="s">
        <v>24</v>
      </c>
      <c r="F59" s="2">
        <v>43922</v>
      </c>
      <c r="H59" t="str" cm="1">
        <f t="array" aca="1" ref="H59" ca="1">CELL("address",_xlfn.XLOOKUP(A59,Sheet1!C:C,Sheet1!C:C))</f>
        <v>[match.xlsx]Sheet1!$C$74</v>
      </c>
      <c r="I59" t="str" cm="1">
        <f t="array" ref="I59:T59">_xlfn.XLOOKUP(A59,Sheet1!C:C,Sheet1!A:L)</f>
        <v>Carleton</v>
      </c>
      <c r="J59" t="str">
        <v>Patrick</v>
      </c>
      <c r="K59">
        <v>37326</v>
      </c>
      <c r="L59" t="str">
        <v>951240705-SO CAL GAS</v>
      </c>
      <c r="M59">
        <v>2022</v>
      </c>
      <c r="N59" t="str">
        <v>Individual is enrolled in a COBRA or Retiree plan coverage that was not sent on a current post-enrollment reporting year import</v>
      </c>
      <c r="O59" t="str">
        <v xml:space="preserve"> </v>
      </c>
      <c r="P59" t="str">
        <v xml:space="preserve"> </v>
      </c>
      <c r="Q59" s="2">
        <v>44653</v>
      </c>
      <c r="R59" s="2" t="str">
        <v xml:space="preserve"> </v>
      </c>
      <c r="S59" t="str">
        <v>04/01/2020-12/31/9999</v>
      </c>
      <c r="T59" t="str">
        <v>Anthem Health Care Plus+</v>
      </c>
    </row>
    <row r="60" spans="1:20" x14ac:dyDescent="0.25">
      <c r="A60" s="3">
        <v>45124</v>
      </c>
      <c r="B60">
        <v>561376414</v>
      </c>
      <c r="C60" t="s">
        <v>39</v>
      </c>
      <c r="D60" t="s">
        <v>690</v>
      </c>
      <c r="E60" t="s">
        <v>31</v>
      </c>
      <c r="F60" s="2">
        <v>43862</v>
      </c>
      <c r="H60" t="str" cm="1">
        <f t="array" aca="1" ref="H60" ca="1">CELL("address",_xlfn.XLOOKUP(A60,Sheet1!C:C,Sheet1!C:C))</f>
        <v>[match.xlsx]Sheet1!$C$406</v>
      </c>
      <c r="I60" t="str" cm="1">
        <f t="array" ref="I60:T60">_xlfn.XLOOKUP(A60,Sheet1!C:C,Sheet1!A:L)</f>
        <v>Padilla</v>
      </c>
      <c r="J60" t="str">
        <v>Enrique</v>
      </c>
      <c r="K60">
        <v>45124</v>
      </c>
      <c r="L60" t="str">
        <v>951240705-SO CAL GAS</v>
      </c>
      <c r="M60">
        <v>2022</v>
      </c>
      <c r="N60" t="str">
        <v>Individual is enrolled in a COBRA or Retiree plan coverage that was not sent on a current post-enrollment reporting year import</v>
      </c>
      <c r="O60" t="str">
        <v xml:space="preserve"> </v>
      </c>
      <c r="P60" t="str">
        <v xml:space="preserve"> </v>
      </c>
      <c r="Q60" s="2">
        <v>44653</v>
      </c>
      <c r="R60" s="2" t="str">
        <v xml:space="preserve"> </v>
      </c>
      <c r="S60" t="str">
        <v>02/01/2020-12/31/9999</v>
      </c>
      <c r="T60" t="str">
        <v>Anthem California Care HMO</v>
      </c>
    </row>
    <row r="61" spans="1:20" x14ac:dyDescent="0.25">
      <c r="A61" s="3">
        <v>28441</v>
      </c>
      <c r="B61">
        <v>373623369</v>
      </c>
      <c r="C61" t="s">
        <v>998</v>
      </c>
      <c r="D61" t="s">
        <v>999</v>
      </c>
      <c r="E61" t="s">
        <v>966</v>
      </c>
      <c r="F61" s="2">
        <v>43252</v>
      </c>
      <c r="H61" t="str" cm="1">
        <f t="array" aca="1" ref="H61" ca="1">CELL("address",_xlfn.XLOOKUP(A61,Sheet1!C:C,Sheet1!C:C))</f>
        <v>[match.xlsx]Sheet1!$C$30</v>
      </c>
      <c r="I61" t="str" cm="1">
        <f t="array" ref="I61:T61">_xlfn.XLOOKUP(A61,Sheet1!C:C,Sheet1!A:L)</f>
        <v>Barteld</v>
      </c>
      <c r="J61" t="str">
        <v>William</v>
      </c>
      <c r="K61">
        <v>28441</v>
      </c>
      <c r="L61" t="str">
        <v>951240705-SO CAL GAS</v>
      </c>
      <c r="M61">
        <v>2022</v>
      </c>
      <c r="N61" t="str">
        <v>Individual is enrolled in a COBRA or Retiree plan coverage that was not sent on a current post-enrollment reporting year import</v>
      </c>
      <c r="O61" t="str">
        <v xml:space="preserve"> </v>
      </c>
      <c r="P61" t="str">
        <v xml:space="preserve"> </v>
      </c>
      <c r="Q61" s="2">
        <v>44653</v>
      </c>
      <c r="R61" s="2" t="str">
        <v xml:space="preserve"> </v>
      </c>
      <c r="S61" t="str">
        <v>01/01/2018-12/31/9999</v>
      </c>
      <c r="T61" t="str">
        <v>Anthem Select HMO</v>
      </c>
    </row>
    <row r="62" spans="1:20" x14ac:dyDescent="0.25">
      <c r="A62" s="3">
        <v>41704</v>
      </c>
      <c r="B62">
        <v>557119332</v>
      </c>
      <c r="C62" t="s">
        <v>1000</v>
      </c>
      <c r="D62" t="s">
        <v>951</v>
      </c>
      <c r="E62" t="s">
        <v>969</v>
      </c>
      <c r="F62" s="2">
        <v>43586</v>
      </c>
      <c r="H62" t="str" cm="1">
        <f t="array" aca="1" ref="H62" ca="1">CELL("address",_xlfn.XLOOKUP(A62,Sheet1!C:C,Sheet1!C:C))</f>
        <v>[match.xlsx]Sheet1!$C$258</v>
      </c>
      <c r="I62" t="str" cm="1">
        <f t="array" ref="I62:T62">_xlfn.XLOOKUP(A62,Sheet1!C:C,Sheet1!A:L)</f>
        <v>Kelly</v>
      </c>
      <c r="J62" t="str">
        <v>Kathleen</v>
      </c>
      <c r="K62">
        <v>41704</v>
      </c>
      <c r="L62" t="str">
        <v>951240705-SO CAL GAS</v>
      </c>
      <c r="M62">
        <v>2022</v>
      </c>
      <c r="N62" t="str">
        <v>Individual is enrolled in a COBRA or Retiree plan coverage that was not sent on a current post-enrollment reporting year import</v>
      </c>
      <c r="O62" t="str">
        <v xml:space="preserve"> </v>
      </c>
      <c r="P62" t="str">
        <v xml:space="preserve"> </v>
      </c>
      <c r="Q62" s="2">
        <v>44653</v>
      </c>
      <c r="R62" s="2" t="str">
        <v xml:space="preserve"> </v>
      </c>
      <c r="S62" t="str">
        <v>01/01/2019-12/31/9999</v>
      </c>
      <c r="T62" t="str">
        <v>Anthem California Care HMO</v>
      </c>
    </row>
    <row r="63" spans="1:20" x14ac:dyDescent="0.25">
      <c r="A63" s="3">
        <v>47554</v>
      </c>
      <c r="B63">
        <v>564396394</v>
      </c>
      <c r="C63" t="s">
        <v>254</v>
      </c>
      <c r="D63" t="s">
        <v>253</v>
      </c>
      <c r="E63" t="s">
        <v>957</v>
      </c>
      <c r="F63" s="2">
        <v>43466</v>
      </c>
      <c r="H63" t="str" cm="1">
        <f t="array" aca="1" ref="H63" ca="1">CELL("address",_xlfn.XLOOKUP(A63,Sheet1!C:C,Sheet1!C:C))</f>
        <v>[match.xlsx]Sheet1!$C$113</v>
      </c>
      <c r="I63" t="str" cm="1">
        <f t="array" ref="I63:T63">_xlfn.XLOOKUP(A63,Sheet1!C:C,Sheet1!A:L)</f>
        <v>Delao</v>
      </c>
      <c r="J63" t="str">
        <v>Edward</v>
      </c>
      <c r="K63">
        <v>47554</v>
      </c>
      <c r="L63" t="str">
        <v>951240705-SO CAL GAS</v>
      </c>
      <c r="M63">
        <v>2022</v>
      </c>
      <c r="N63" t="str">
        <v>Individual is enrolled in a COBRA or Retiree plan coverage that was not sent on a current post-enrollment reporting year import</v>
      </c>
      <c r="O63" t="str">
        <v xml:space="preserve"> </v>
      </c>
      <c r="P63" t="str">
        <v xml:space="preserve"> </v>
      </c>
      <c r="Q63" s="2">
        <v>44653</v>
      </c>
      <c r="R63" s="2" t="str">
        <v xml:space="preserve"> </v>
      </c>
      <c r="S63" t="str">
        <v>04/01/2018-12/31/9999</v>
      </c>
      <c r="T63" t="str">
        <v>Anthem California Care HMO</v>
      </c>
    </row>
    <row r="64" spans="1:20" x14ac:dyDescent="0.25">
      <c r="A64" s="3">
        <v>44631</v>
      </c>
      <c r="B64">
        <v>560943358</v>
      </c>
      <c r="C64" t="s">
        <v>1001</v>
      </c>
      <c r="D64" t="s">
        <v>1002</v>
      </c>
      <c r="E64" t="s">
        <v>969</v>
      </c>
      <c r="F64" s="2">
        <v>43709</v>
      </c>
      <c r="H64" t="str" cm="1">
        <f t="array" aca="1" ref="H64" ca="1">CELL("address",_xlfn.XLOOKUP(A64,Sheet1!C:C,Sheet1!C:C))</f>
        <v>[match.xlsx]Sheet1!$C$349</v>
      </c>
      <c r="I64" t="str" cm="1">
        <f t="array" ref="I64:T64">_xlfn.XLOOKUP(A64,Sheet1!C:C,Sheet1!A:L)</f>
        <v>Mejia</v>
      </c>
      <c r="J64" t="str">
        <v>Bertha</v>
      </c>
      <c r="K64">
        <v>44631</v>
      </c>
      <c r="L64" t="str">
        <v>951240705-SO CAL GAS</v>
      </c>
      <c r="M64">
        <v>2022</v>
      </c>
      <c r="N64" t="str">
        <v>Individual is enrolled in a COBRA or Retiree plan coverage that was not sent on a current post-enrollment reporting year import</v>
      </c>
      <c r="O64" t="str">
        <v xml:space="preserve"> </v>
      </c>
      <c r="P64" t="str">
        <v xml:space="preserve"> </v>
      </c>
      <c r="Q64" s="2">
        <v>44653</v>
      </c>
      <c r="R64" s="2" t="str">
        <v xml:space="preserve"> </v>
      </c>
      <c r="S64" t="str">
        <v>01/01/2019-12/31/9999</v>
      </c>
      <c r="T64" t="str">
        <v>Anthem California Care HMO</v>
      </c>
    </row>
    <row r="65" spans="1:20" x14ac:dyDescent="0.25">
      <c r="A65" s="3">
        <v>51952</v>
      </c>
      <c r="B65">
        <v>570135248</v>
      </c>
      <c r="C65" t="s">
        <v>1003</v>
      </c>
      <c r="D65" t="s">
        <v>1004</v>
      </c>
      <c r="E65" t="s">
        <v>24</v>
      </c>
      <c r="F65" s="2">
        <v>43101</v>
      </c>
      <c r="H65" t="str" cm="1">
        <f t="array" aca="1" ref="H65" ca="1">CELL("address",_xlfn.XLOOKUP(A65,Sheet1!C:C,Sheet1!C:C))</f>
        <v>[match.xlsx]Sheet1!$C$92</v>
      </c>
      <c r="I65" t="str" cm="1">
        <f t="array" ref="I65:T65">_xlfn.XLOOKUP(A65,Sheet1!C:C,Sheet1!A:L)</f>
        <v>Contreras</v>
      </c>
      <c r="J65" t="str">
        <v>Frankie</v>
      </c>
      <c r="K65">
        <v>51952</v>
      </c>
      <c r="L65" t="str">
        <v>951240705-SO CAL GAS</v>
      </c>
      <c r="M65">
        <v>2022</v>
      </c>
      <c r="N65" t="str">
        <v>Individual is enrolled in a COBRA or Retiree plan coverage that was not sent on a current post-enrollment reporting year import</v>
      </c>
      <c r="O65" t="str">
        <v xml:space="preserve"> </v>
      </c>
      <c r="P65" t="str">
        <v xml:space="preserve"> </v>
      </c>
      <c r="Q65" s="2">
        <v>44653</v>
      </c>
      <c r="R65" s="2" t="str">
        <v xml:space="preserve"> </v>
      </c>
      <c r="S65" t="str">
        <v>01/01/2018-12/31/9999</v>
      </c>
      <c r="T65" t="str">
        <v>Anthem Health Care Plus+</v>
      </c>
    </row>
    <row r="66" spans="1:20" x14ac:dyDescent="0.25">
      <c r="A66" s="3">
        <v>36157</v>
      </c>
      <c r="B66">
        <v>549925466</v>
      </c>
      <c r="C66" t="s">
        <v>1005</v>
      </c>
      <c r="D66" t="s">
        <v>1006</v>
      </c>
      <c r="E66" t="s">
        <v>966</v>
      </c>
      <c r="F66" s="2">
        <v>43678</v>
      </c>
      <c r="H66" t="str" cm="1">
        <f t="array" aca="1" ref="H66" ca="1">CELL("address",_xlfn.XLOOKUP(A66,Sheet1!C:C,Sheet1!C:C))</f>
        <v>[match.xlsx]Sheet1!$C$330</v>
      </c>
      <c r="I66" t="str" cm="1">
        <f t="array" ref="I66:T66">_xlfn.XLOOKUP(A66,Sheet1!C:C,Sheet1!A:L)</f>
        <v>Martinez</v>
      </c>
      <c r="J66" t="str">
        <v>Raul</v>
      </c>
      <c r="K66">
        <v>36157</v>
      </c>
      <c r="L66" t="str">
        <v>951240705-SO CAL GAS</v>
      </c>
      <c r="M66">
        <v>2022</v>
      </c>
      <c r="N66" t="str">
        <v>Individual is enrolled in a COBRA or Retiree plan coverage that was not sent on a current post-enrollment reporting year import</v>
      </c>
      <c r="O66" t="str">
        <v xml:space="preserve"> </v>
      </c>
      <c r="P66" t="str">
        <v xml:space="preserve"> </v>
      </c>
      <c r="Q66" s="2">
        <v>44653</v>
      </c>
      <c r="R66" s="2" t="str">
        <v xml:space="preserve"> </v>
      </c>
      <c r="S66" t="str">
        <v>01/01/2019-12/31/9999</v>
      </c>
      <c r="T66" t="str">
        <v>Anthem California Care HMO</v>
      </c>
    </row>
    <row r="67" spans="1:20" x14ac:dyDescent="0.25">
      <c r="A67" s="3">
        <v>34798</v>
      </c>
      <c r="B67">
        <v>548293479</v>
      </c>
      <c r="C67" t="s">
        <v>1007</v>
      </c>
      <c r="D67" t="s">
        <v>1008</v>
      </c>
      <c r="E67" t="s">
        <v>969</v>
      </c>
      <c r="F67" s="2">
        <v>43405</v>
      </c>
      <c r="H67" t="str" cm="1">
        <f t="array" aca="1" ref="H67" ca="1">CELL("address",_xlfn.XLOOKUP(A67,Sheet1!C:C,Sheet1!C:C))</f>
        <v>[match.xlsx]Sheet1!$C$58</v>
      </c>
      <c r="I67" t="str" cm="1">
        <f t="array" ref="I67:T67">_xlfn.XLOOKUP(A67,Sheet1!C:C,Sheet1!A:L)</f>
        <v>Bright</v>
      </c>
      <c r="J67" t="str">
        <v>Regina</v>
      </c>
      <c r="K67">
        <v>34798</v>
      </c>
      <c r="L67" t="str">
        <v>951240705-SO CAL GAS</v>
      </c>
      <c r="M67">
        <v>2022</v>
      </c>
      <c r="N67" t="str">
        <v>Individual is enrolled in a COBRA or Retiree plan coverage that was not sent on a current post-enrollment reporting year import</v>
      </c>
      <c r="O67" t="str">
        <v xml:space="preserve"> </v>
      </c>
      <c r="P67" t="str">
        <v xml:space="preserve"> </v>
      </c>
      <c r="Q67" s="2">
        <v>44653</v>
      </c>
      <c r="R67" s="2" t="str">
        <v xml:space="preserve"> </v>
      </c>
      <c r="S67" t="str">
        <v>01/01/2019-12/31/9999</v>
      </c>
      <c r="T67" t="str">
        <v>Anthem California Care HMO</v>
      </c>
    </row>
    <row r="68" spans="1:20" x14ac:dyDescent="0.25">
      <c r="A68" s="3">
        <v>28803</v>
      </c>
      <c r="B68">
        <v>396749856</v>
      </c>
      <c r="C68" t="s">
        <v>982</v>
      </c>
      <c r="D68" t="s">
        <v>1009</v>
      </c>
      <c r="E68" t="s">
        <v>24</v>
      </c>
      <c r="F68" s="2">
        <v>43586</v>
      </c>
      <c r="H68" t="str" cm="1">
        <f t="array" aca="1" ref="H68" ca="1">CELL("address",_xlfn.XLOOKUP(A68,Sheet1!C:C,Sheet1!C:C))</f>
        <v>[match.xlsx]Sheet1!$C$11</v>
      </c>
      <c r="I68" t="str" cm="1">
        <f t="array" ref="I68:T68">_xlfn.XLOOKUP(A68,Sheet1!C:C,Sheet1!A:L)</f>
        <v>Anderson</v>
      </c>
      <c r="J68" t="str">
        <v>Richard</v>
      </c>
      <c r="K68">
        <v>28803</v>
      </c>
      <c r="L68" t="str">
        <v>951240705-SO CAL GAS</v>
      </c>
      <c r="M68">
        <v>2022</v>
      </c>
      <c r="N68" t="str">
        <v>Individual is enrolled in a COBRA or Retiree plan coverage that was not sent on a current post-enrollment reporting year import</v>
      </c>
      <c r="O68" t="str">
        <v xml:space="preserve"> </v>
      </c>
      <c r="P68" t="str">
        <v xml:space="preserve"> </v>
      </c>
      <c r="Q68" s="2">
        <v>44653</v>
      </c>
      <c r="R68" s="2" t="str">
        <v xml:space="preserve"> </v>
      </c>
      <c r="S68" t="str">
        <v>05/01/2019-12/31/9999</v>
      </c>
      <c r="T68" t="str">
        <v>Anthem Health Care Plus+</v>
      </c>
    </row>
    <row r="69" spans="1:20" x14ac:dyDescent="0.25">
      <c r="A69" s="3">
        <v>53605</v>
      </c>
      <c r="B69">
        <v>572270539</v>
      </c>
      <c r="C69" t="s">
        <v>198</v>
      </c>
      <c r="D69" t="s">
        <v>747</v>
      </c>
      <c r="E69" t="s">
        <v>24</v>
      </c>
      <c r="F69" s="2">
        <v>44105</v>
      </c>
      <c r="H69" t="str" cm="1">
        <f t="array" aca="1" ref="H69" ca="1">CELL("address",_xlfn.XLOOKUP(A69,Sheet1!C:C,Sheet1!C:C))</f>
        <v>[match.xlsx]Sheet1!$C$453</v>
      </c>
      <c r="I69" t="str" cm="1">
        <f t="array" ref="I69:T69">_xlfn.XLOOKUP(A69,Sheet1!C:C,Sheet1!A:L)</f>
        <v>Rodriguez</v>
      </c>
      <c r="J69" t="str">
        <v>David</v>
      </c>
      <c r="K69">
        <v>53605</v>
      </c>
      <c r="L69" t="str">
        <v>951240705-SO CAL GAS</v>
      </c>
      <c r="M69">
        <v>2022</v>
      </c>
      <c r="N69" t="str">
        <v>Individual is enrolled in a COBRA or Retiree plan coverage that was not sent on a current post-enrollment reporting year import</v>
      </c>
      <c r="O69" t="str">
        <v xml:space="preserve"> </v>
      </c>
      <c r="P69" t="str">
        <v xml:space="preserve"> </v>
      </c>
      <c r="Q69" s="2">
        <v>44653</v>
      </c>
      <c r="R69" s="2" t="str">
        <v xml:space="preserve"> </v>
      </c>
      <c r="S69" t="str">
        <v>10/01/2020-12/31/9999</v>
      </c>
      <c r="T69" t="str">
        <v>Anthem Health Care Plus+</v>
      </c>
    </row>
    <row r="70" spans="1:20" x14ac:dyDescent="0.25">
      <c r="A70" s="3">
        <v>52872</v>
      </c>
      <c r="B70">
        <v>571319165</v>
      </c>
      <c r="C70" t="s">
        <v>1010</v>
      </c>
      <c r="D70" t="s">
        <v>1011</v>
      </c>
      <c r="E70" t="s">
        <v>24</v>
      </c>
      <c r="F70" s="2">
        <v>43282</v>
      </c>
      <c r="H70" t="str" cm="1">
        <f t="array" aca="1" ref="H70" ca="1">CELL("address",_xlfn.XLOOKUP(A70,Sheet1!C:C,Sheet1!C:C))</f>
        <v>[match.xlsx]Sheet1!$C$422</v>
      </c>
      <c r="I70" t="str" cm="1">
        <f t="array" ref="I70:T70">_xlfn.XLOOKUP(A70,Sheet1!C:C,Sheet1!A:L)</f>
        <v>Powell</v>
      </c>
      <c r="J70" t="str">
        <v>Larry</v>
      </c>
      <c r="K70">
        <v>52872</v>
      </c>
      <c r="L70" t="str">
        <v>951240705-SO CAL GAS</v>
      </c>
      <c r="M70">
        <v>2022</v>
      </c>
      <c r="N70" t="str">
        <v>Individual is enrolled in a COBRA or Retiree plan coverage that was not sent on a current post-enrollment reporting year import</v>
      </c>
      <c r="O70" t="str">
        <v xml:space="preserve"> </v>
      </c>
      <c r="P70" t="str">
        <v xml:space="preserve"> </v>
      </c>
      <c r="Q70" s="2">
        <v>44653</v>
      </c>
      <c r="R70" s="2" t="str">
        <v xml:space="preserve"> </v>
      </c>
      <c r="S70" t="str">
        <v>07/01/2018-12/31/9999</v>
      </c>
      <c r="T70" t="str">
        <v>Anthem Health Care Plus+</v>
      </c>
    </row>
    <row r="71" spans="1:20" x14ac:dyDescent="0.25">
      <c r="A71" s="3">
        <v>83740</v>
      </c>
      <c r="B71">
        <v>570117043</v>
      </c>
      <c r="C71" t="s">
        <v>822</v>
      </c>
      <c r="D71" t="s">
        <v>821</v>
      </c>
      <c r="E71" t="s">
        <v>966</v>
      </c>
      <c r="F71" s="2">
        <v>44621</v>
      </c>
      <c r="H71" t="str" cm="1">
        <f t="array" aca="1" ref="H71" ca="1">CELL("address",_xlfn.XLOOKUP(A71,Sheet1!C:C,Sheet1!C:C))</f>
        <v>[match.xlsx]Sheet1!$C$521</v>
      </c>
      <c r="I71" t="str" cm="1">
        <f t="array" ref="I71:T71">_xlfn.XLOOKUP(A71,Sheet1!C:C,Sheet1!A:L)</f>
        <v>Stoneman</v>
      </c>
      <c r="J71" t="str">
        <v>Dan</v>
      </c>
      <c r="K71">
        <v>83740</v>
      </c>
      <c r="L71" t="str">
        <v>951184800-SAN DIEGO GAS &amp; ELECTRIC</v>
      </c>
      <c r="M71">
        <v>2022</v>
      </c>
      <c r="N71" t="str">
        <v>Individual is enrolled in a COBRA or Retiree plan coverage that was not sent on a current post-enrollment reporting year import</v>
      </c>
      <c r="O71" t="str">
        <v xml:space="preserve"> </v>
      </c>
      <c r="P71" t="str">
        <v xml:space="preserve"> </v>
      </c>
      <c r="Q71" s="2">
        <v>44653</v>
      </c>
      <c r="R71" s="2" t="str">
        <v xml:space="preserve"> </v>
      </c>
      <c r="S71" t="str">
        <v>01/01/2019-01/31/2022</v>
      </c>
      <c r="T71" t="str">
        <v>Anthem Select HMO</v>
      </c>
    </row>
    <row r="72" spans="1:20" x14ac:dyDescent="0.25">
      <c r="A72" s="3">
        <v>48969</v>
      </c>
      <c r="B72">
        <v>566318845</v>
      </c>
      <c r="C72" t="s">
        <v>213</v>
      </c>
      <c r="D72" t="s">
        <v>212</v>
      </c>
      <c r="E72" t="s">
        <v>31</v>
      </c>
      <c r="F72" s="2">
        <v>43739</v>
      </c>
      <c r="H72" t="str" cm="1">
        <f t="array" aca="1" ref="H72" ca="1">CELL("address",_xlfn.XLOOKUP(A72,Sheet1!C:C,Sheet1!C:C))</f>
        <v>[match.xlsx]Sheet1!$C$91</v>
      </c>
      <c r="I72" t="str" cm="1">
        <f t="array" ref="I72:T72">_xlfn.XLOOKUP(A72,Sheet1!C:C,Sheet1!A:L)</f>
        <v>Connors</v>
      </c>
      <c r="J72" t="str">
        <v>Jeanne</v>
      </c>
      <c r="K72">
        <v>48969</v>
      </c>
      <c r="L72" t="str">
        <v>951240705-SO CAL GAS</v>
      </c>
      <c r="M72">
        <v>2022</v>
      </c>
      <c r="N72" t="str">
        <v>Individual is enrolled in a COBRA or Retiree plan coverage that was not sent on a current post-enrollment reporting year import</v>
      </c>
      <c r="O72" t="str">
        <v xml:space="preserve"> </v>
      </c>
      <c r="P72" t="str">
        <v xml:space="preserve"> </v>
      </c>
      <c r="Q72" s="2">
        <v>44653</v>
      </c>
      <c r="R72" s="2" t="str">
        <v xml:space="preserve"> </v>
      </c>
      <c r="S72" t="str">
        <v>10/01/2019-12/31/9999</v>
      </c>
      <c r="T72" t="str">
        <v>Anthem California Care HMO</v>
      </c>
    </row>
    <row r="73" spans="1:20" x14ac:dyDescent="0.25">
      <c r="A73" s="3">
        <v>36221</v>
      </c>
      <c r="B73">
        <v>550048496</v>
      </c>
      <c r="C73" t="s">
        <v>980</v>
      </c>
      <c r="D73" t="s">
        <v>1012</v>
      </c>
      <c r="E73" t="s">
        <v>969</v>
      </c>
      <c r="F73" s="2">
        <v>44593</v>
      </c>
      <c r="H73" t="str" cm="1">
        <f t="array" aca="1" ref="H73" ca="1">CELL("address",_xlfn.XLOOKUP(A73,Sheet1!C:C,Sheet1!C:C))</f>
        <v>[match.xlsx]Sheet1!$C$242</v>
      </c>
      <c r="I73" t="str" cm="1">
        <f t="array" ref="I73:T73">_xlfn.XLOOKUP(A73,Sheet1!C:C,Sheet1!A:L)</f>
        <v>Jewett</v>
      </c>
      <c r="J73" t="str">
        <v>David</v>
      </c>
      <c r="K73">
        <v>36221</v>
      </c>
      <c r="L73" t="str">
        <v>951240705-SO CAL GAS</v>
      </c>
      <c r="M73">
        <v>2022</v>
      </c>
      <c r="N73" t="str">
        <v>Individual is enrolled in a COBRA or Retiree plan coverage that was not sent on a current post-enrollment reporting year import</v>
      </c>
      <c r="O73" t="str">
        <v xml:space="preserve"> </v>
      </c>
      <c r="P73" t="str">
        <v xml:space="preserve"> </v>
      </c>
      <c r="Q73" s="2">
        <v>44653</v>
      </c>
      <c r="R73" s="2" t="str">
        <v xml:space="preserve"> </v>
      </c>
      <c r="S73" t="str">
        <v>01/01/2018-01/31/2022</v>
      </c>
      <c r="T73" t="str">
        <v>Anthem Select HMO</v>
      </c>
    </row>
    <row r="74" spans="1:20" x14ac:dyDescent="0.25">
      <c r="A74" s="3">
        <v>37975</v>
      </c>
      <c r="B74">
        <v>552115537</v>
      </c>
      <c r="C74" t="s">
        <v>1013</v>
      </c>
      <c r="D74" t="s">
        <v>1014</v>
      </c>
      <c r="E74" t="s">
        <v>31</v>
      </c>
      <c r="F74" s="2">
        <v>43831</v>
      </c>
      <c r="H74" t="str" cm="1">
        <f t="array" aca="1" ref="H74" ca="1">CELL("address",_xlfn.XLOOKUP(A74,Sheet1!C:C,Sheet1!C:C))</f>
        <v>[match.xlsx]Sheet1!$C$171</v>
      </c>
      <c r="I74" t="str" cm="1">
        <f t="array" ref="I74:T74">_xlfn.XLOOKUP(A74,Sheet1!C:C,Sheet1!A:L)</f>
        <v>Germany</v>
      </c>
      <c r="J74" t="str">
        <v>Pamela</v>
      </c>
      <c r="K74">
        <v>37975</v>
      </c>
      <c r="L74" t="str">
        <v>951240705-SO CAL GAS</v>
      </c>
      <c r="M74">
        <v>2022</v>
      </c>
      <c r="N74" t="str">
        <v>Individual is enrolled in a COBRA or Retiree plan coverage that was not sent on a current post-enrollment reporting year import</v>
      </c>
      <c r="O74" t="str">
        <v xml:space="preserve"> </v>
      </c>
      <c r="P74" t="str">
        <v xml:space="preserve"> </v>
      </c>
      <c r="Q74" s="2">
        <v>44653</v>
      </c>
      <c r="R74" s="2" t="str">
        <v xml:space="preserve"> </v>
      </c>
      <c r="S74" t="str">
        <v>01/01/2020-12/31/9999</v>
      </c>
      <c r="T74" t="str">
        <v>Anthem California Care HMO</v>
      </c>
    </row>
    <row r="75" spans="1:20" x14ac:dyDescent="0.25">
      <c r="A75" s="3">
        <v>45977</v>
      </c>
      <c r="B75">
        <v>562275632</v>
      </c>
      <c r="C75" t="s">
        <v>1015</v>
      </c>
      <c r="D75" t="s">
        <v>1016</v>
      </c>
      <c r="E75" t="s">
        <v>31</v>
      </c>
      <c r="F75" s="2">
        <v>43101</v>
      </c>
      <c r="H75" t="str" cm="1">
        <f t="array" aca="1" ref="H75" ca="1">CELL("address",_xlfn.XLOOKUP(A75,Sheet1!C:C,Sheet1!C:C))</f>
        <v>[match.xlsx]Sheet1!$C$458</v>
      </c>
      <c r="I75" t="str" cm="1">
        <f t="array" ref="I75:T75">_xlfn.XLOOKUP(A75,Sheet1!C:C,Sheet1!A:L)</f>
        <v>Romero</v>
      </c>
      <c r="J75" t="str">
        <v>Domingo</v>
      </c>
      <c r="K75">
        <v>45977</v>
      </c>
      <c r="L75" t="str">
        <v>951240705-SO CAL GAS</v>
      </c>
      <c r="M75">
        <v>2022</v>
      </c>
      <c r="N75" t="str">
        <v>Individual is enrolled in a COBRA or Retiree plan coverage that was not sent on a current post-enrollment reporting year import</v>
      </c>
      <c r="O75" t="str">
        <v xml:space="preserve"> </v>
      </c>
      <c r="P75" t="str">
        <v xml:space="preserve"> </v>
      </c>
      <c r="Q75" s="2">
        <v>44653</v>
      </c>
      <c r="R75" s="2" t="str">
        <v xml:space="preserve"> </v>
      </c>
      <c r="S75" t="str">
        <v>01/01/2018-12/31/9999</v>
      </c>
      <c r="T75" t="str">
        <v>Anthem California Care HMO</v>
      </c>
    </row>
    <row r="76" spans="1:20" x14ac:dyDescent="0.25">
      <c r="A76" s="3">
        <v>41333</v>
      </c>
      <c r="B76">
        <v>556656213</v>
      </c>
      <c r="C76" t="s">
        <v>198</v>
      </c>
      <c r="D76" t="s">
        <v>479</v>
      </c>
      <c r="E76" t="s">
        <v>24</v>
      </c>
      <c r="F76" s="2">
        <v>43831</v>
      </c>
      <c r="H76" t="str" cm="1">
        <f t="array" aca="1" ref="H76" ca="1">CELL("address",_xlfn.XLOOKUP(A76,Sheet1!C:C,Sheet1!C:C))</f>
        <v>[match.xlsx]Sheet1!$C$252</v>
      </c>
      <c r="I76" t="str" cm="1">
        <f t="array" ref="I76:T76">_xlfn.XLOOKUP(A76,Sheet1!C:C,Sheet1!A:L)</f>
        <v>Jurey</v>
      </c>
      <c r="J76" t="str">
        <v>David</v>
      </c>
      <c r="K76">
        <v>41333</v>
      </c>
      <c r="L76" t="str">
        <v>951240705-SO CAL GAS</v>
      </c>
      <c r="M76">
        <v>2022</v>
      </c>
      <c r="N76" t="str">
        <v>Individual is enrolled in a COBRA or Retiree plan coverage that was not sent on a current post-enrollment reporting year import</v>
      </c>
      <c r="O76" t="str">
        <v xml:space="preserve"> </v>
      </c>
      <c r="P76" t="str">
        <v xml:space="preserve"> </v>
      </c>
      <c r="Q76" s="2">
        <v>44653</v>
      </c>
      <c r="R76" s="2" t="str">
        <v xml:space="preserve"> </v>
      </c>
      <c r="S76" t="str">
        <v>01/01/2020-12/31/9999</v>
      </c>
      <c r="T76" t="str">
        <v>Anthem Health Care Plus+</v>
      </c>
    </row>
    <row r="77" spans="1:20" x14ac:dyDescent="0.25">
      <c r="A77" s="3">
        <v>28696</v>
      </c>
      <c r="B77">
        <v>386708640</v>
      </c>
      <c r="C77" t="s">
        <v>998</v>
      </c>
      <c r="D77" t="s">
        <v>1017</v>
      </c>
      <c r="E77" t="s">
        <v>71</v>
      </c>
      <c r="F77" s="2">
        <v>43678</v>
      </c>
      <c r="H77" t="str" cm="1">
        <f t="array" aca="1" ref="H77" ca="1">CELL("address",_xlfn.XLOOKUP(A77,Sheet1!C:C,Sheet1!C:C))</f>
        <v>[match.xlsx]Sheet1!$C$76</v>
      </c>
      <c r="I77" t="str" cm="1">
        <f t="array" ref="I77:T77">_xlfn.XLOOKUP(A77,Sheet1!C:C,Sheet1!A:L)</f>
        <v>Carr</v>
      </c>
      <c r="J77" t="str">
        <v>William</v>
      </c>
      <c r="K77">
        <v>28696</v>
      </c>
      <c r="L77" t="str">
        <v>951240705-SO CAL GAS</v>
      </c>
      <c r="M77">
        <v>2022</v>
      </c>
      <c r="N77" t="str">
        <v>Individual is enrolled in a COBRA or Retiree plan coverage that was not sent on a current post-enrollment reporting year import</v>
      </c>
      <c r="O77" t="str">
        <v xml:space="preserve"> </v>
      </c>
      <c r="P77" t="str">
        <v xml:space="preserve"> </v>
      </c>
      <c r="Q77" s="2">
        <v>44653</v>
      </c>
      <c r="R77" s="2" t="str">
        <v xml:space="preserve"> </v>
      </c>
      <c r="S77" t="str">
        <v>08/01/2019-12/31/9999</v>
      </c>
      <c r="T77" t="str">
        <v>Anthem Select HMO</v>
      </c>
    </row>
    <row r="78" spans="1:20" x14ac:dyDescent="0.25">
      <c r="A78" s="3">
        <v>48278</v>
      </c>
      <c r="B78">
        <v>565318229</v>
      </c>
      <c r="C78" t="s">
        <v>607</v>
      </c>
      <c r="D78" t="s">
        <v>606</v>
      </c>
      <c r="E78" t="s">
        <v>31</v>
      </c>
      <c r="F78" s="2">
        <v>43466</v>
      </c>
      <c r="H78" t="str" cm="1">
        <f t="array" aca="1" ref="H78" ca="1">CELL("address",_xlfn.XLOOKUP(A78,Sheet1!C:C,Sheet1!C:C))</f>
        <v>[match.xlsx]Sheet1!$C$342</v>
      </c>
      <c r="I78" t="str" cm="1">
        <f t="array" ref="I78:T78">_xlfn.XLOOKUP(A78,Sheet1!C:C,Sheet1!A:L)</f>
        <v>Mccoy</v>
      </c>
      <c r="J78" t="str">
        <v>Ron</v>
      </c>
      <c r="K78">
        <v>48278</v>
      </c>
      <c r="L78" t="str">
        <v>951240705-SO CAL GAS</v>
      </c>
      <c r="M78">
        <v>2022</v>
      </c>
      <c r="N78" t="str">
        <v>Individual is enrolled in a COBRA or Retiree plan coverage that was not sent on a current post-enrollment reporting year import</v>
      </c>
      <c r="O78" t="str">
        <v xml:space="preserve"> </v>
      </c>
      <c r="P78" t="str">
        <v xml:space="preserve"> </v>
      </c>
      <c r="Q78" s="2">
        <v>44653</v>
      </c>
      <c r="R78" s="2" t="str">
        <v xml:space="preserve"> </v>
      </c>
      <c r="S78" t="str">
        <v>01/01/2019-12/31/9999</v>
      </c>
      <c r="T78" t="str">
        <v>Anthem California Care HMO</v>
      </c>
    </row>
    <row r="79" spans="1:20" x14ac:dyDescent="0.25">
      <c r="A79" s="3">
        <v>27070</v>
      </c>
      <c r="B79">
        <v>277480934</v>
      </c>
      <c r="C79" t="s">
        <v>1018</v>
      </c>
      <c r="D79" t="s">
        <v>1019</v>
      </c>
      <c r="E79" t="s">
        <v>936</v>
      </c>
      <c r="F79" s="2">
        <v>44652</v>
      </c>
      <c r="H79" t="str" cm="1">
        <f t="array" aca="1" ref="H79" ca="1">CELL("address",_xlfn.XLOOKUP(A79,Sheet1!C:C,Sheet1!C:C))</f>
        <v>[match.xlsx]Sheet1!$C$86</v>
      </c>
      <c r="I79" t="str" cm="1">
        <f t="array" ref="I79:T79">_xlfn.XLOOKUP(A79,Sheet1!C:C,Sheet1!A:L)</f>
        <v>Cicone</v>
      </c>
      <c r="J79" t="str">
        <v>Ronald</v>
      </c>
      <c r="K79">
        <v>27070</v>
      </c>
      <c r="L79" t="str">
        <v>951240705-SO CAL GAS</v>
      </c>
      <c r="M79">
        <v>2022</v>
      </c>
      <c r="N79" t="str">
        <v>Individual is enrolled in a COBRA or Retiree plan coverage that was not sent on a current post-enrollment reporting year import</v>
      </c>
      <c r="O79" t="str">
        <v xml:space="preserve"> </v>
      </c>
      <c r="P79" t="str">
        <v xml:space="preserve"> </v>
      </c>
      <c r="Q79" s="2">
        <v>44653</v>
      </c>
      <c r="R79" s="2" t="str">
        <v xml:space="preserve"> </v>
      </c>
      <c r="S79" t="str">
        <v>01/01/2018-03/31/2022</v>
      </c>
      <c r="T79" t="str">
        <v>Anthem Health Care Plus+</v>
      </c>
    </row>
    <row r="80" spans="1:20" x14ac:dyDescent="0.25">
      <c r="A80" s="3">
        <v>52214</v>
      </c>
      <c r="B80">
        <v>570415557</v>
      </c>
      <c r="C80" t="s">
        <v>77</v>
      </c>
      <c r="D80" t="s">
        <v>647</v>
      </c>
      <c r="E80" t="s">
        <v>24</v>
      </c>
      <c r="F80" s="2">
        <v>43831</v>
      </c>
      <c r="H80" t="str" cm="1">
        <f t="array" aca="1" ref="H80" ca="1">CELL("address",_xlfn.XLOOKUP(A80,Sheet1!C:C,Sheet1!C:C))</f>
        <v>[match.xlsx]Sheet1!$C$372</v>
      </c>
      <c r="I80" t="str" cm="1">
        <f t="array" ref="I80:T80">_xlfn.XLOOKUP(A80,Sheet1!C:C,Sheet1!A:L)</f>
        <v>Myers</v>
      </c>
      <c r="J80" t="str">
        <v>Robert</v>
      </c>
      <c r="K80">
        <v>52214</v>
      </c>
      <c r="L80" t="str">
        <v>951240705-SO CAL GAS</v>
      </c>
      <c r="M80">
        <v>2022</v>
      </c>
      <c r="N80" t="str">
        <v>Individual is enrolled in a COBRA or Retiree plan coverage that was not sent on a current post-enrollment reporting year import</v>
      </c>
      <c r="O80" t="str">
        <v xml:space="preserve"> </v>
      </c>
      <c r="P80" t="str">
        <v xml:space="preserve"> </v>
      </c>
      <c r="Q80" s="2">
        <v>44653</v>
      </c>
      <c r="R80" s="2" t="str">
        <v xml:space="preserve"> </v>
      </c>
      <c r="S80" t="str">
        <v>01/01/2020-12/31/9999</v>
      </c>
      <c r="T80" t="str">
        <v>Anthem Health Care Plus+</v>
      </c>
    </row>
    <row r="81" spans="1:20" x14ac:dyDescent="0.25">
      <c r="A81" s="3">
        <v>33855</v>
      </c>
      <c r="B81">
        <v>547062347</v>
      </c>
      <c r="C81" t="s">
        <v>682</v>
      </c>
      <c r="D81" t="s">
        <v>681</v>
      </c>
      <c r="E81" t="s">
        <v>71</v>
      </c>
      <c r="F81" s="2">
        <v>43709</v>
      </c>
      <c r="H81" t="str" cm="1">
        <f t="array" aca="1" ref="H81" ca="1">CELL("address",_xlfn.XLOOKUP(A81,Sheet1!C:C,Sheet1!C:C))</f>
        <v>[match.xlsx]Sheet1!$C$400</v>
      </c>
      <c r="I81" t="str" cm="1">
        <f t="array" ref="I81:T81">_xlfn.XLOOKUP(A81,Sheet1!C:C,Sheet1!A:L)</f>
        <v>Ornelas</v>
      </c>
      <c r="J81" t="str">
        <v>Louis</v>
      </c>
      <c r="K81">
        <v>33855</v>
      </c>
      <c r="L81" t="str">
        <v>951240705-SO CAL GAS</v>
      </c>
      <c r="M81">
        <v>2022</v>
      </c>
      <c r="N81" t="str">
        <v>Individual is enrolled in a COBRA or Retiree plan coverage that was not sent on a current post-enrollment reporting year import</v>
      </c>
      <c r="O81" t="str">
        <v xml:space="preserve"> </v>
      </c>
      <c r="P81" t="str">
        <v xml:space="preserve"> </v>
      </c>
      <c r="Q81" s="2">
        <v>44653</v>
      </c>
      <c r="R81" s="2" t="str">
        <v xml:space="preserve"> </v>
      </c>
      <c r="S81" t="str">
        <v>09/01/2019-12/31/9999</v>
      </c>
      <c r="T81" t="str">
        <v>Anthem Select HMO</v>
      </c>
    </row>
    <row r="82" spans="1:20" x14ac:dyDescent="0.25">
      <c r="A82" s="3">
        <v>49744</v>
      </c>
      <c r="B82">
        <v>567291904</v>
      </c>
      <c r="C82" t="s">
        <v>581</v>
      </c>
      <c r="D82" t="s">
        <v>580</v>
      </c>
      <c r="E82" t="s">
        <v>24</v>
      </c>
      <c r="F82" s="2">
        <v>44013</v>
      </c>
      <c r="H82" t="str" cm="1">
        <f t="array" aca="1" ref="H82" ca="1">CELL("address",_xlfn.XLOOKUP(A82,Sheet1!C:C,Sheet1!C:C))</f>
        <v>[match.xlsx]Sheet1!$C$321</v>
      </c>
      <c r="I82" t="str" cm="1">
        <f t="array" ref="I82:T82">_xlfn.XLOOKUP(A82,Sheet1!C:C,Sheet1!A:L)</f>
        <v>Mallory</v>
      </c>
      <c r="J82" t="str">
        <v>Christopher</v>
      </c>
      <c r="K82">
        <v>49744</v>
      </c>
      <c r="L82" t="str">
        <v>951240705-SO CAL GAS</v>
      </c>
      <c r="M82">
        <v>2022</v>
      </c>
      <c r="N82" t="str">
        <v>Individual is enrolled in a COBRA or Retiree plan coverage that was not sent on a current post-enrollment reporting year import</v>
      </c>
      <c r="O82" t="str">
        <v xml:space="preserve"> </v>
      </c>
      <c r="P82" t="str">
        <v xml:space="preserve"> </v>
      </c>
      <c r="Q82" s="2">
        <v>44653</v>
      </c>
      <c r="R82" s="2" t="str">
        <v xml:space="preserve"> </v>
      </c>
      <c r="S82" t="str">
        <v>07/01/2020-12/31/9999</v>
      </c>
      <c r="T82" t="str">
        <v>Anthem Health Care Plus+</v>
      </c>
    </row>
    <row r="83" spans="1:20" x14ac:dyDescent="0.25">
      <c r="A83" s="3">
        <v>57780</v>
      </c>
      <c r="B83">
        <v>545236875</v>
      </c>
      <c r="C83" t="s">
        <v>103</v>
      </c>
      <c r="D83" t="s">
        <v>623</v>
      </c>
      <c r="E83" t="s">
        <v>24</v>
      </c>
      <c r="F83" s="2">
        <v>43709</v>
      </c>
      <c r="H83" t="str" cm="1">
        <f t="array" aca="1" ref="H83" ca="1">CELL("address",_xlfn.XLOOKUP(A83,Sheet1!C:C,Sheet1!C:C))</f>
        <v>[match.xlsx]Sheet1!$C$354</v>
      </c>
      <c r="I83" t="str" cm="1">
        <f t="array" ref="I83:T83">_xlfn.XLOOKUP(A83,Sheet1!C:C,Sheet1!A:L)</f>
        <v>Miller</v>
      </c>
      <c r="J83" t="str">
        <v>Michael</v>
      </c>
      <c r="K83">
        <v>57780</v>
      </c>
      <c r="L83" t="str">
        <v>951240705-SO CAL GAS</v>
      </c>
      <c r="M83">
        <v>2022</v>
      </c>
      <c r="N83" t="str">
        <v>Individual is enrolled in a COBRA or Retiree plan coverage that was not sent on a current post-enrollment reporting year import</v>
      </c>
      <c r="O83" t="str">
        <v xml:space="preserve"> </v>
      </c>
      <c r="P83" t="str">
        <v xml:space="preserve"> </v>
      </c>
      <c r="Q83" s="2">
        <v>44653</v>
      </c>
      <c r="R83" s="2" t="str">
        <v xml:space="preserve"> </v>
      </c>
      <c r="S83" t="str">
        <v>09/01/2019-12/31/9999</v>
      </c>
      <c r="T83" t="str">
        <v>Anthem Health Care Plus+</v>
      </c>
    </row>
    <row r="84" spans="1:20" x14ac:dyDescent="0.25">
      <c r="A84" s="3">
        <v>53582</v>
      </c>
      <c r="B84">
        <v>572239970</v>
      </c>
      <c r="C84" t="s">
        <v>1020</v>
      </c>
      <c r="D84" t="s">
        <v>1021</v>
      </c>
      <c r="E84" t="s">
        <v>24</v>
      </c>
      <c r="F84" s="2">
        <v>43101</v>
      </c>
      <c r="H84" t="str" cm="1">
        <f t="array" aca="1" ref="H84" ca="1">CELL("address",_xlfn.XLOOKUP(A84,Sheet1!C:C,Sheet1!C:C))</f>
        <v>[match.xlsx]Sheet1!$C$131</v>
      </c>
      <c r="I84" t="str" cm="1">
        <f t="array" ref="I84:T84">_xlfn.XLOOKUP(A84,Sheet1!C:C,Sheet1!A:L)</f>
        <v>Eldridge</v>
      </c>
      <c r="J84" t="str">
        <v>Patrick</v>
      </c>
      <c r="K84">
        <v>53582</v>
      </c>
      <c r="L84" t="str">
        <v>951240705-SO CAL GAS</v>
      </c>
      <c r="M84">
        <v>2022</v>
      </c>
      <c r="N84" t="str">
        <v>Individual is enrolled in a COBRA or Retiree plan coverage that was not sent on a current post-enrollment reporting year import</v>
      </c>
      <c r="O84" t="str">
        <v xml:space="preserve"> </v>
      </c>
      <c r="P84" t="str">
        <v xml:space="preserve"> </v>
      </c>
      <c r="Q84" s="2">
        <v>44653</v>
      </c>
      <c r="R84" s="2" t="str">
        <v xml:space="preserve"> </v>
      </c>
      <c r="S84" t="str">
        <v>01/01/2018-12/31/9999</v>
      </c>
      <c r="T84" t="str">
        <v>Anthem Health Care Plus+</v>
      </c>
    </row>
    <row r="85" spans="1:20" x14ac:dyDescent="0.25">
      <c r="A85" s="3">
        <v>48367</v>
      </c>
      <c r="B85">
        <v>565418272</v>
      </c>
      <c r="C85" t="s">
        <v>175</v>
      </c>
      <c r="D85" t="s">
        <v>246</v>
      </c>
      <c r="E85" t="s">
        <v>24</v>
      </c>
      <c r="F85" s="2">
        <v>43952</v>
      </c>
      <c r="H85" t="str" cm="1">
        <f t="array" aca="1" ref="H85" ca="1">CELL("address",_xlfn.XLOOKUP(A85,Sheet1!C:C,Sheet1!C:C))</f>
        <v>[match.xlsx]Sheet1!$C$108</v>
      </c>
      <c r="I85" t="str" cm="1">
        <f t="array" ref="I85:T85">_xlfn.XLOOKUP(A85,Sheet1!C:C,Sheet1!A:L)</f>
        <v>Dahlquist</v>
      </c>
      <c r="J85" t="str">
        <v>Russell</v>
      </c>
      <c r="K85">
        <v>48367</v>
      </c>
      <c r="L85" t="str">
        <v>951240705-SO CAL GAS</v>
      </c>
      <c r="M85">
        <v>2022</v>
      </c>
      <c r="N85" t="str">
        <v>Individual is enrolled in a COBRA or Retiree plan coverage that was not sent on a current post-enrollment reporting year import</v>
      </c>
      <c r="O85" t="str">
        <v xml:space="preserve"> </v>
      </c>
      <c r="P85" t="str">
        <v xml:space="preserve"> </v>
      </c>
      <c r="Q85" s="2">
        <v>44653</v>
      </c>
      <c r="R85" s="2" t="str">
        <v xml:space="preserve"> </v>
      </c>
      <c r="S85" t="str">
        <v>05/01/2020-12/31/9999</v>
      </c>
      <c r="T85" t="str">
        <v>Anthem Health Care Plus+</v>
      </c>
    </row>
    <row r="86" spans="1:20" x14ac:dyDescent="0.25">
      <c r="A86" s="3">
        <v>43782</v>
      </c>
      <c r="B86">
        <v>559980540</v>
      </c>
      <c r="C86" t="s">
        <v>1022</v>
      </c>
      <c r="D86" t="s">
        <v>1023</v>
      </c>
      <c r="E86" t="s">
        <v>966</v>
      </c>
      <c r="F86" s="2">
        <v>43525</v>
      </c>
      <c r="H86" t="str" cm="1">
        <f t="array" aca="1" ref="H86" ca="1">CELL("address",_xlfn.XLOOKUP(A86,Sheet1!C:C,Sheet1!C:C))</f>
        <v>[match.xlsx]Sheet1!$C$592</v>
      </c>
      <c r="I86" t="str" cm="1">
        <f t="array" ref="I86:T86">_xlfn.XLOOKUP(A86,Sheet1!C:C,Sheet1!A:L)</f>
        <v>Ysaac</v>
      </c>
      <c r="J86" t="str">
        <v>Robert</v>
      </c>
      <c r="K86">
        <v>43782</v>
      </c>
      <c r="L86" t="str">
        <v>951240705-SO CAL GAS</v>
      </c>
      <c r="M86">
        <v>2022</v>
      </c>
      <c r="N86" t="str">
        <v>Individual is enrolled in a COBRA or Retiree plan coverage that was not sent on a current post-enrollment reporting year import</v>
      </c>
      <c r="O86" t="str">
        <v xml:space="preserve"> </v>
      </c>
      <c r="P86" t="str">
        <v xml:space="preserve"> </v>
      </c>
      <c r="Q86" s="2">
        <v>44653</v>
      </c>
      <c r="R86" s="2" t="str">
        <v xml:space="preserve"> </v>
      </c>
      <c r="S86" t="str">
        <v>01/01/2019-12/31/9999</v>
      </c>
      <c r="T86" t="str">
        <v>Anthem Select HMO</v>
      </c>
    </row>
    <row r="87" spans="1:20" x14ac:dyDescent="0.25">
      <c r="A87" s="3">
        <v>40418</v>
      </c>
      <c r="B87">
        <v>555310739</v>
      </c>
      <c r="C87" t="s">
        <v>1024</v>
      </c>
      <c r="D87" t="s">
        <v>1025</v>
      </c>
      <c r="E87" t="s">
        <v>31</v>
      </c>
      <c r="F87" s="2">
        <v>43101</v>
      </c>
      <c r="H87" t="str" cm="1">
        <f t="array" aca="1" ref="H87" ca="1">CELL("address",_xlfn.XLOOKUP(A87,Sheet1!C:C,Sheet1!C:C))</f>
        <v>[match.xlsx]Sheet1!$C$243</v>
      </c>
      <c r="I87" t="str" cm="1">
        <f t="array" ref="I87:T87">_xlfn.XLOOKUP(A87,Sheet1!C:C,Sheet1!A:L)</f>
        <v>Jimenez</v>
      </c>
      <c r="J87" t="str">
        <v>Alice</v>
      </c>
      <c r="K87">
        <v>40418</v>
      </c>
      <c r="L87" t="str">
        <v>951240705-SO CAL GAS</v>
      </c>
      <c r="M87">
        <v>2022</v>
      </c>
      <c r="N87" t="str">
        <v>Individual is enrolled in a COBRA or Retiree plan coverage that was not sent on a current post-enrollment reporting year import</v>
      </c>
      <c r="O87" t="str">
        <v xml:space="preserve"> </v>
      </c>
      <c r="P87" t="str">
        <v xml:space="preserve"> </v>
      </c>
      <c r="Q87" s="2">
        <v>44653</v>
      </c>
      <c r="R87" s="2" t="str">
        <v xml:space="preserve"> </v>
      </c>
      <c r="S87" t="str">
        <v>01/01/2018-12/31/9999</v>
      </c>
      <c r="T87" t="str">
        <v>Anthem California Care HMO</v>
      </c>
    </row>
    <row r="88" spans="1:20" x14ac:dyDescent="0.25">
      <c r="A88" s="3">
        <v>32042</v>
      </c>
      <c r="B88">
        <v>531803464</v>
      </c>
      <c r="C88" t="s">
        <v>43</v>
      </c>
      <c r="D88" t="s">
        <v>669</v>
      </c>
      <c r="E88" t="s">
        <v>24</v>
      </c>
      <c r="F88" s="2">
        <v>43586</v>
      </c>
      <c r="H88" t="str" cm="1">
        <f t="array" aca="1" ref="H88" ca="1">CELL("address",_xlfn.XLOOKUP(A88,Sheet1!C:C,Sheet1!C:C))</f>
        <v>[match.xlsx]Sheet1!$C$387</v>
      </c>
      <c r="I88" t="str" cm="1">
        <f t="array" ref="I88:T88">_xlfn.XLOOKUP(A88,Sheet1!C:C,Sheet1!A:L)</f>
        <v>Noel</v>
      </c>
      <c r="J88" t="str">
        <v>Richard</v>
      </c>
      <c r="K88">
        <v>32042</v>
      </c>
      <c r="L88" t="str">
        <v>951240705-SO CAL GAS</v>
      </c>
      <c r="M88">
        <v>2022</v>
      </c>
      <c r="N88" t="str">
        <v>Individual is enrolled in a COBRA or Retiree plan coverage that was not sent on a current post-enrollment reporting year import</v>
      </c>
      <c r="O88" t="str">
        <v xml:space="preserve"> </v>
      </c>
      <c r="P88" t="str">
        <v xml:space="preserve"> </v>
      </c>
      <c r="Q88" s="2">
        <v>44653</v>
      </c>
      <c r="R88" s="2" t="str">
        <v xml:space="preserve"> </v>
      </c>
      <c r="S88" t="str">
        <v>05/01/2019-12/31/9999</v>
      </c>
      <c r="T88" t="str">
        <v>Anthem Health Care Plus+</v>
      </c>
    </row>
    <row r="89" spans="1:20" x14ac:dyDescent="0.25">
      <c r="A89" s="3">
        <v>61282</v>
      </c>
      <c r="B89">
        <v>551066958</v>
      </c>
      <c r="C89" t="s">
        <v>832</v>
      </c>
      <c r="D89" t="s">
        <v>831</v>
      </c>
      <c r="E89" t="s">
        <v>969</v>
      </c>
      <c r="F89" s="2">
        <v>44378</v>
      </c>
      <c r="H89" t="str" cm="1">
        <f t="array" aca="1" ref="H89" ca="1">CELL("address",_xlfn.XLOOKUP(A89,Sheet1!C:C,Sheet1!C:C))</f>
        <v>[match.xlsx]Sheet1!$C$528</v>
      </c>
      <c r="I89" t="str" cm="1">
        <f t="array" ref="I89:T89">_xlfn.XLOOKUP(A89,Sheet1!C:C,Sheet1!A:L)</f>
        <v>Talamantes</v>
      </c>
      <c r="J89" t="str">
        <v>Isabelle</v>
      </c>
      <c r="K89">
        <v>61282</v>
      </c>
      <c r="L89" t="str">
        <v>951240705-SO CAL GAS</v>
      </c>
      <c r="M89">
        <v>2022</v>
      </c>
      <c r="N89" t="str">
        <v>Individual is enrolled in a COBRA or Retiree plan coverage that was not sent on a current post-enrollment reporting year import</v>
      </c>
      <c r="O89" t="str">
        <v xml:space="preserve"> </v>
      </c>
      <c r="P89" t="str">
        <v xml:space="preserve"> </v>
      </c>
      <c r="Q89" s="2">
        <v>44653</v>
      </c>
      <c r="R89" s="2" t="str">
        <v xml:space="preserve"> </v>
      </c>
      <c r="S89" t="str">
        <v>08/01/2020-12/31/9999</v>
      </c>
      <c r="T89" t="str">
        <v>Anthem California Care HMO</v>
      </c>
    </row>
    <row r="90" spans="1:20" x14ac:dyDescent="0.25">
      <c r="A90" s="3">
        <v>42948</v>
      </c>
      <c r="B90">
        <v>558633738</v>
      </c>
      <c r="C90" t="s">
        <v>827</v>
      </c>
      <c r="D90" t="s">
        <v>826</v>
      </c>
      <c r="E90" t="s">
        <v>24</v>
      </c>
      <c r="F90" s="2">
        <v>44075</v>
      </c>
      <c r="H90" t="str" cm="1">
        <f t="array" aca="1" ref="H90" ca="1">CELL("address",_xlfn.XLOOKUP(A90,Sheet1!C:C,Sheet1!C:C))</f>
        <v>[match.xlsx]Sheet1!$C$524</v>
      </c>
      <c r="I90" t="str" cm="1">
        <f t="array" ref="I90:T90">_xlfn.XLOOKUP(A90,Sheet1!C:C,Sheet1!A:L)</f>
        <v>Sweat</v>
      </c>
      <c r="J90" t="str">
        <v>Rosy</v>
      </c>
      <c r="K90">
        <v>42948</v>
      </c>
      <c r="L90" t="str">
        <v>951240705-SO CAL GAS</v>
      </c>
      <c r="M90">
        <v>2022</v>
      </c>
      <c r="N90" t="str">
        <v>Individual is enrolled in a COBRA or Retiree plan coverage that was not sent on a current post-enrollment reporting year import</v>
      </c>
      <c r="O90" t="str">
        <v xml:space="preserve"> </v>
      </c>
      <c r="P90" t="str">
        <v xml:space="preserve"> </v>
      </c>
      <c r="Q90" s="2">
        <v>44653</v>
      </c>
      <c r="R90" s="2" t="str">
        <v xml:space="preserve"> </v>
      </c>
      <c r="S90" t="str">
        <v>09/01/2020-12/31/9999</v>
      </c>
      <c r="T90" t="str">
        <v>Anthem Health Care Plus+</v>
      </c>
    </row>
    <row r="91" spans="1:20" x14ac:dyDescent="0.25">
      <c r="A91" s="3">
        <v>46415</v>
      </c>
      <c r="B91">
        <v>562904463</v>
      </c>
      <c r="C91" t="s">
        <v>1026</v>
      </c>
      <c r="D91" t="s">
        <v>1027</v>
      </c>
      <c r="E91" t="s">
        <v>966</v>
      </c>
      <c r="F91" s="2">
        <v>44652</v>
      </c>
      <c r="H91" t="str" cm="1">
        <f t="array" aca="1" ref="H91" ca="1">CELL("address",_xlfn.XLOOKUP(A91,Sheet1!C:C,Sheet1!C:C))</f>
        <v>[match.xlsx]Sheet1!$C$462</v>
      </c>
      <c r="I91" t="str" cm="1">
        <f t="array" ref="I91:T91">_xlfn.XLOOKUP(A91,Sheet1!C:C,Sheet1!A:L)</f>
        <v>Rudshagen</v>
      </c>
      <c r="J91" t="str">
        <v>Carmen</v>
      </c>
      <c r="K91">
        <v>46415</v>
      </c>
      <c r="L91" t="str">
        <v>951240705-SO CAL GAS</v>
      </c>
      <c r="M91">
        <v>2022</v>
      </c>
      <c r="N91" t="str">
        <v>Individual is enrolled in a COBRA or Retiree plan coverage that was not sent on a current post-enrollment reporting year import</v>
      </c>
      <c r="O91" t="str">
        <v xml:space="preserve"> </v>
      </c>
      <c r="P91" t="str">
        <v xml:space="preserve"> </v>
      </c>
      <c r="Q91" s="2">
        <v>44653</v>
      </c>
      <c r="R91" s="2" t="str">
        <v xml:space="preserve"> </v>
      </c>
      <c r="S91" t="str">
        <v>02/01/2020-02/28/2022</v>
      </c>
      <c r="T91" t="str">
        <v>Anthem California Care HMO</v>
      </c>
    </row>
    <row r="92" spans="1:20" x14ac:dyDescent="0.25">
      <c r="A92" s="3">
        <v>57245</v>
      </c>
      <c r="B92">
        <v>563023902</v>
      </c>
      <c r="C92" t="s">
        <v>1028</v>
      </c>
      <c r="D92" t="s">
        <v>1029</v>
      </c>
      <c r="E92" t="s">
        <v>969</v>
      </c>
      <c r="F92" s="2">
        <v>43770</v>
      </c>
      <c r="H92" t="str" cm="1">
        <f t="array" aca="1" ref="H92" ca="1">CELL("address",_xlfn.XLOOKUP(A92,Sheet1!C:C,Sheet1!C:C))</f>
        <v>[match.xlsx]Sheet1!$C$49</v>
      </c>
      <c r="I92" t="str" cm="1">
        <f t="array" ref="I92:T92">_xlfn.XLOOKUP(A92,Sheet1!C:C,Sheet1!A:L)</f>
        <v>Bodwell</v>
      </c>
      <c r="J92" t="str">
        <v>Theodore</v>
      </c>
      <c r="K92">
        <v>57245</v>
      </c>
      <c r="L92" t="str">
        <v>951240705-SO CAL GAS</v>
      </c>
      <c r="M92">
        <v>2022</v>
      </c>
      <c r="N92" t="str">
        <v>Individual is enrolled in a COBRA or Retiree plan coverage that was not sent on a current post-enrollment reporting year import</v>
      </c>
      <c r="O92" t="str">
        <v xml:space="preserve"> </v>
      </c>
      <c r="P92" t="str">
        <v xml:space="preserve"> </v>
      </c>
      <c r="Q92" s="2">
        <v>44653</v>
      </c>
      <c r="R92" s="2" t="str">
        <v xml:space="preserve"> </v>
      </c>
      <c r="S92" t="str">
        <v>01/01/2019-12/31/9999</v>
      </c>
      <c r="T92" t="str">
        <v>Anthem Select HMO</v>
      </c>
    </row>
    <row r="93" spans="1:20" x14ac:dyDescent="0.25">
      <c r="A93" s="3">
        <v>37295</v>
      </c>
      <c r="B93">
        <v>551311687</v>
      </c>
      <c r="C93" t="s">
        <v>159</v>
      </c>
      <c r="D93" t="s">
        <v>158</v>
      </c>
      <c r="E93" t="s">
        <v>31</v>
      </c>
      <c r="F93" s="2">
        <v>43983</v>
      </c>
      <c r="H93" t="str" cm="1">
        <f t="array" aca="1" ref="H93" ca="1">CELL("address",_xlfn.XLOOKUP(A93,Sheet1!C:C,Sheet1!C:C))</f>
        <v>[match.xlsx]Sheet1!$C$62</v>
      </c>
      <c r="I93" t="str" cm="1">
        <f t="array" ref="I93:T93">_xlfn.XLOOKUP(A93,Sheet1!C:C,Sheet1!A:L)</f>
        <v>Bujanda</v>
      </c>
      <c r="J93" t="str">
        <v>Gilbert</v>
      </c>
      <c r="K93">
        <v>37295</v>
      </c>
      <c r="L93" t="str">
        <v>951240705-SO CAL GAS</v>
      </c>
      <c r="M93">
        <v>2022</v>
      </c>
      <c r="N93" t="str">
        <v>Individual is enrolled in a COBRA or Retiree plan coverage that was not sent on a current post-enrollment reporting year import</v>
      </c>
      <c r="O93" t="str">
        <v xml:space="preserve"> </v>
      </c>
      <c r="P93" t="str">
        <v xml:space="preserve"> </v>
      </c>
      <c r="Q93" s="2">
        <v>44653</v>
      </c>
      <c r="R93" s="2" t="str">
        <v xml:space="preserve"> </v>
      </c>
      <c r="S93" t="str">
        <v>06/01/2020-12/31/9999</v>
      </c>
      <c r="T93" t="str">
        <v>Anthem California Care HMO</v>
      </c>
    </row>
    <row r="94" spans="1:20" x14ac:dyDescent="0.25">
      <c r="A94" s="3">
        <v>32570</v>
      </c>
      <c r="B94">
        <v>545190065</v>
      </c>
      <c r="C94" t="s">
        <v>264</v>
      </c>
      <c r="D94" t="s">
        <v>370</v>
      </c>
      <c r="E94" t="s">
        <v>71</v>
      </c>
      <c r="F94" s="2">
        <v>43831</v>
      </c>
      <c r="H94" t="str" cm="1">
        <f t="array" aca="1" ref="H94" ca="1">CELL("address",_xlfn.XLOOKUP(A94,Sheet1!C:C,Sheet1!C:C))</f>
        <v>[match.xlsx]Sheet1!$C$178</v>
      </c>
      <c r="I94" t="str" cm="1">
        <f t="array" ref="I94:T94">_xlfn.XLOOKUP(A94,Sheet1!C:C,Sheet1!A:L)</f>
        <v>Gomez</v>
      </c>
      <c r="J94" t="str">
        <v>Frank</v>
      </c>
      <c r="K94">
        <v>32570</v>
      </c>
      <c r="L94" t="str">
        <v>951240705-SO CAL GAS</v>
      </c>
      <c r="M94">
        <v>2022</v>
      </c>
      <c r="N94" t="str">
        <v>Individual is enrolled in a COBRA or Retiree plan coverage that was not sent on a current post-enrollment reporting year import</v>
      </c>
      <c r="O94" t="str">
        <v xml:space="preserve"> </v>
      </c>
      <c r="P94" t="str">
        <v xml:space="preserve"> </v>
      </c>
      <c r="Q94" s="2">
        <v>44653</v>
      </c>
      <c r="R94" s="2" t="str">
        <v xml:space="preserve"> </v>
      </c>
      <c r="S94" t="str">
        <v>01/01/2020-12/31/9999</v>
      </c>
      <c r="T94" t="str">
        <v>Anthem Select HMO</v>
      </c>
    </row>
    <row r="95" spans="1:20" x14ac:dyDescent="0.25">
      <c r="A95" s="3">
        <v>38907</v>
      </c>
      <c r="B95">
        <v>553474052</v>
      </c>
      <c r="C95" t="s">
        <v>74</v>
      </c>
      <c r="D95" t="s">
        <v>894</v>
      </c>
      <c r="E95" t="s">
        <v>24</v>
      </c>
      <c r="F95" s="2">
        <v>43313</v>
      </c>
      <c r="H95" t="str" cm="1">
        <f t="array" aca="1" ref="H95" ca="1">CELL("address",_xlfn.XLOOKUP(A95,Sheet1!C:C,Sheet1!C:C))</f>
        <v>[match.xlsx]Sheet1!$C$573</v>
      </c>
      <c r="I95" t="str" cm="1">
        <f t="array" ref="I95:T95">_xlfn.XLOOKUP(A95,Sheet1!C:C,Sheet1!A:L)</f>
        <v>Williamson</v>
      </c>
      <c r="J95" t="str">
        <v>John</v>
      </c>
      <c r="K95">
        <v>38907</v>
      </c>
      <c r="L95" t="str">
        <v>951240705-SO CAL GAS</v>
      </c>
      <c r="M95">
        <v>2022</v>
      </c>
      <c r="N95" t="str">
        <v>Individual is enrolled in a COBRA or Retiree plan coverage that was not sent on a current post-enrollment reporting year import</v>
      </c>
      <c r="O95" t="str">
        <v xml:space="preserve"> </v>
      </c>
      <c r="P95" t="str">
        <v xml:space="preserve"> </v>
      </c>
      <c r="Q95" s="2">
        <v>44653</v>
      </c>
      <c r="R95" s="2" t="str">
        <v xml:space="preserve"> </v>
      </c>
      <c r="S95" t="str">
        <v>08/01/2018-12/31/9999</v>
      </c>
      <c r="T95" t="str">
        <v>Anthem Health Care Plus+</v>
      </c>
    </row>
    <row r="96" spans="1:20" x14ac:dyDescent="0.25">
      <c r="A96" s="3">
        <v>41823</v>
      </c>
      <c r="B96">
        <v>557272598</v>
      </c>
      <c r="C96" t="s">
        <v>62</v>
      </c>
      <c r="D96" t="s">
        <v>61</v>
      </c>
      <c r="E96" t="s">
        <v>31</v>
      </c>
      <c r="F96" s="2">
        <v>43831</v>
      </c>
      <c r="H96" t="str" cm="1">
        <f t="array" aca="1" ref="H96" ca="1">CELL("address",_xlfn.XLOOKUP(A96,Sheet1!C:C,Sheet1!C:C))</f>
        <v>[match.xlsx]Sheet1!$C$18</v>
      </c>
      <c r="I96" t="str" cm="1">
        <f t="array" ref="I96:T96">_xlfn.XLOOKUP(A96,Sheet1!C:C,Sheet1!A:L)</f>
        <v>Babbitt</v>
      </c>
      <c r="J96" t="str">
        <v>Willis</v>
      </c>
      <c r="K96">
        <v>41823</v>
      </c>
      <c r="L96" t="str">
        <v>951240705-SO CAL GAS</v>
      </c>
      <c r="M96">
        <v>2022</v>
      </c>
      <c r="N96" t="str">
        <v>Individual is enrolled in a COBRA or Retiree plan coverage that was not sent on a current post-enrollment reporting year import</v>
      </c>
      <c r="O96" t="str">
        <v xml:space="preserve"> </v>
      </c>
      <c r="P96" t="str">
        <v xml:space="preserve"> </v>
      </c>
      <c r="Q96" s="2">
        <v>44653</v>
      </c>
      <c r="R96" s="2" t="str">
        <v xml:space="preserve"> </v>
      </c>
      <c r="S96" t="str">
        <v>01/01/2020-12/31/9999</v>
      </c>
      <c r="T96" t="str">
        <v>Anthem California Care HMO</v>
      </c>
    </row>
    <row r="97" spans="1:20" x14ac:dyDescent="0.25">
      <c r="A97" s="3">
        <v>54513</v>
      </c>
      <c r="B97">
        <v>573417578</v>
      </c>
      <c r="C97" t="s">
        <v>1030</v>
      </c>
      <c r="D97" t="s">
        <v>1031</v>
      </c>
      <c r="E97" t="s">
        <v>24</v>
      </c>
      <c r="F97" s="2">
        <v>43313</v>
      </c>
      <c r="H97" t="str" cm="1">
        <f t="array" aca="1" ref="H97" ca="1">CELL("address",_xlfn.XLOOKUP(A97,Sheet1!C:C,Sheet1!C:C))</f>
        <v>[match.xlsx]Sheet1!$C$257</v>
      </c>
      <c r="I97" t="str" cm="1">
        <f t="array" ref="I97:T97">_xlfn.XLOOKUP(A97,Sheet1!C:C,Sheet1!A:L)</f>
        <v>Kelley</v>
      </c>
      <c r="J97" t="str">
        <v>John</v>
      </c>
      <c r="K97">
        <v>54513</v>
      </c>
      <c r="L97" t="str">
        <v>951240705-SO CAL GAS</v>
      </c>
      <c r="M97">
        <v>2022</v>
      </c>
      <c r="N97" t="str">
        <v>Individual is enrolled in a COBRA or Retiree plan coverage that was not sent on a current post-enrollment reporting year import</v>
      </c>
      <c r="O97" t="str">
        <v xml:space="preserve"> </v>
      </c>
      <c r="P97" t="str">
        <v xml:space="preserve"> </v>
      </c>
      <c r="Q97" s="2">
        <v>44653</v>
      </c>
      <c r="R97" s="2" t="str">
        <v xml:space="preserve"> </v>
      </c>
      <c r="S97" t="str">
        <v>08/01/2018-12/31/9999</v>
      </c>
      <c r="T97" t="str">
        <v>Anthem Health Care Plus+</v>
      </c>
    </row>
    <row r="98" spans="1:20" x14ac:dyDescent="0.25">
      <c r="A98" s="3">
        <v>44894</v>
      </c>
      <c r="B98">
        <v>561137312</v>
      </c>
      <c r="C98" t="s">
        <v>254</v>
      </c>
      <c r="D98" t="s">
        <v>764</v>
      </c>
      <c r="E98" t="s">
        <v>24</v>
      </c>
      <c r="F98" s="2">
        <v>43466</v>
      </c>
      <c r="H98" t="str" cm="1">
        <f t="array" aca="1" ref="H98" ca="1">CELL("address",_xlfn.XLOOKUP(A98,Sheet1!C:C,Sheet1!C:C))</f>
        <v>[match.xlsx]Sheet1!$C$466</v>
      </c>
      <c r="I98" t="str" cm="1">
        <f t="array" ref="I98:T98">_xlfn.XLOOKUP(A98,Sheet1!C:C,Sheet1!A:L)</f>
        <v>Saenz</v>
      </c>
      <c r="J98" t="str">
        <v>Edward</v>
      </c>
      <c r="K98">
        <v>44894</v>
      </c>
      <c r="L98" t="str">
        <v>951240705-SO CAL GAS</v>
      </c>
      <c r="M98">
        <v>2022</v>
      </c>
      <c r="N98" t="str">
        <v>Individual is enrolled in a COBRA or Retiree plan coverage that was not sent on a current post-enrollment reporting year import</v>
      </c>
      <c r="O98" t="str">
        <v xml:space="preserve"> </v>
      </c>
      <c r="P98" t="str">
        <v xml:space="preserve"> </v>
      </c>
      <c r="Q98" s="2">
        <v>44653</v>
      </c>
      <c r="R98" s="2" t="str">
        <v xml:space="preserve"> </v>
      </c>
      <c r="S98" t="str">
        <v>01/01/2019-12/31/9999</v>
      </c>
      <c r="T98" t="str">
        <v>Anthem Health Care Plus+</v>
      </c>
    </row>
    <row r="99" spans="1:20" x14ac:dyDescent="0.25">
      <c r="A99" s="3">
        <v>33727</v>
      </c>
      <c r="B99">
        <v>546865275</v>
      </c>
      <c r="C99" t="s">
        <v>1032</v>
      </c>
      <c r="D99" t="s">
        <v>1033</v>
      </c>
      <c r="E99" t="s">
        <v>969</v>
      </c>
      <c r="F99" s="2">
        <v>43770</v>
      </c>
      <c r="H99" t="str" cm="1">
        <f t="array" aca="1" ref="H99" ca="1">CELL("address",_xlfn.XLOOKUP(A99,Sheet1!C:C,Sheet1!C:C))</f>
        <v>[match.xlsx]Sheet1!$C$415</v>
      </c>
      <c r="I99" t="str" cm="1">
        <f t="array" ref="I99:T99">_xlfn.XLOOKUP(A99,Sheet1!C:C,Sheet1!A:L)</f>
        <v>Phipps</v>
      </c>
      <c r="J99" t="str">
        <v>Dennis</v>
      </c>
      <c r="K99">
        <v>33727</v>
      </c>
      <c r="L99" t="str">
        <v>951240705-SO CAL GAS</v>
      </c>
      <c r="M99">
        <v>2022</v>
      </c>
      <c r="N99" t="str">
        <v>Individual is enrolled in a COBRA or Retiree plan coverage that was not sent on a current post-enrollment reporting year import</v>
      </c>
      <c r="O99" t="str">
        <v xml:space="preserve"> </v>
      </c>
      <c r="P99" t="str">
        <v xml:space="preserve"> </v>
      </c>
      <c r="Q99" s="2">
        <v>44653</v>
      </c>
      <c r="R99" s="2" t="str">
        <v xml:space="preserve"> </v>
      </c>
      <c r="S99" t="str">
        <v>01/01/2019-12/31/9999</v>
      </c>
      <c r="T99" t="str">
        <v>Anthem Health Care Plus+</v>
      </c>
    </row>
    <row r="100" spans="1:20" x14ac:dyDescent="0.25">
      <c r="A100" s="3">
        <v>32385</v>
      </c>
      <c r="B100">
        <v>545024211</v>
      </c>
      <c r="C100" t="s">
        <v>1034</v>
      </c>
      <c r="D100" t="s">
        <v>1035</v>
      </c>
      <c r="E100" t="s">
        <v>969</v>
      </c>
      <c r="F100" s="2">
        <v>43497</v>
      </c>
      <c r="H100" t="str" cm="1">
        <f t="array" aca="1" ref="H100" ca="1">CELL("address",_xlfn.XLOOKUP(A100,Sheet1!C:C,Sheet1!C:C))</f>
        <v>[match.xlsx]Sheet1!$C$408</v>
      </c>
      <c r="I100" t="str" cm="1">
        <f t="array" ref="I100:T100">_xlfn.XLOOKUP(A100,Sheet1!C:C,Sheet1!A:L)</f>
        <v>Parocua</v>
      </c>
      <c r="J100" t="str">
        <v>Hector</v>
      </c>
      <c r="K100">
        <v>32385</v>
      </c>
      <c r="L100" t="str">
        <v>951240705-SO CAL GAS</v>
      </c>
      <c r="M100">
        <v>2022</v>
      </c>
      <c r="N100" t="str">
        <v>Individual is enrolled in a COBRA or Retiree plan coverage that was not sent on a current post-enrollment reporting year import</v>
      </c>
      <c r="O100" t="str">
        <v xml:space="preserve"> </v>
      </c>
      <c r="P100" t="str">
        <v xml:space="preserve"> </v>
      </c>
      <c r="Q100" s="2">
        <v>44653</v>
      </c>
      <c r="R100" s="2" t="str">
        <v xml:space="preserve"> </v>
      </c>
      <c r="S100" t="str">
        <v>01/01/2019-12/31/9999</v>
      </c>
      <c r="T100" t="str">
        <v>Anthem Health Care Plus+</v>
      </c>
    </row>
    <row r="101" spans="1:20" x14ac:dyDescent="0.25">
      <c r="A101" s="3">
        <v>56960</v>
      </c>
      <c r="B101">
        <v>556048870</v>
      </c>
      <c r="C101" t="s">
        <v>433</v>
      </c>
      <c r="D101" t="s">
        <v>431</v>
      </c>
      <c r="E101" t="s">
        <v>24</v>
      </c>
      <c r="F101" s="2">
        <v>43739</v>
      </c>
      <c r="H101" t="str" cm="1">
        <f t="array" aca="1" ref="H101" ca="1">CELL("address",_xlfn.XLOOKUP(A101,Sheet1!C:C,Sheet1!C:C))</f>
        <v>[match.xlsx]Sheet1!$C$218</v>
      </c>
      <c r="I101" t="str" cm="1">
        <f t="array" ref="I101:T101">_xlfn.XLOOKUP(A101,Sheet1!C:C,Sheet1!A:L)</f>
        <v>Hernandez</v>
      </c>
      <c r="J101" t="str">
        <v>Humberto</v>
      </c>
      <c r="K101">
        <v>56960</v>
      </c>
      <c r="L101" t="str">
        <v>951240705-SO CAL GAS</v>
      </c>
      <c r="M101">
        <v>2022</v>
      </c>
      <c r="N101" t="str">
        <v>Individual is enrolled in a COBRA or Retiree plan coverage that was not sent on a current post-enrollment reporting year import</v>
      </c>
      <c r="O101" t="str">
        <v xml:space="preserve"> </v>
      </c>
      <c r="P101" t="str">
        <v xml:space="preserve"> </v>
      </c>
      <c r="Q101" s="2">
        <v>44653</v>
      </c>
      <c r="R101" s="2" t="str">
        <v xml:space="preserve"> </v>
      </c>
      <c r="S101" t="str">
        <v>10/01/2019-12/31/9999</v>
      </c>
      <c r="T101" t="str">
        <v>Anthem Health Care Plus+</v>
      </c>
    </row>
    <row r="102" spans="1:20" x14ac:dyDescent="0.25">
      <c r="A102" s="3">
        <v>41535</v>
      </c>
      <c r="B102">
        <v>556905030</v>
      </c>
      <c r="C102" t="s">
        <v>1036</v>
      </c>
      <c r="D102" t="s">
        <v>1037</v>
      </c>
      <c r="E102" t="s">
        <v>31</v>
      </c>
      <c r="F102" s="2">
        <v>43101</v>
      </c>
      <c r="H102" t="str" cm="1">
        <f t="array" aca="1" ref="H102" ca="1">CELL("address",_xlfn.XLOOKUP(A102,Sheet1!C:C,Sheet1!C:C))</f>
        <v>[match.xlsx]Sheet1!$C$106</v>
      </c>
      <c r="I102" t="str" cm="1">
        <f t="array" ref="I102:T102">_xlfn.XLOOKUP(A102,Sheet1!C:C,Sheet1!A:L)</f>
        <v>D&amp;apos;amico</v>
      </c>
      <c r="J102" t="str">
        <v>Donald</v>
      </c>
      <c r="K102">
        <v>41535</v>
      </c>
      <c r="L102" t="str">
        <v>951240705-SO CAL GAS</v>
      </c>
      <c r="M102">
        <v>2022</v>
      </c>
      <c r="N102" t="str">
        <v>Individual is enrolled in a COBRA or Retiree plan coverage that was not sent on a current post-enrollment reporting year import</v>
      </c>
      <c r="O102" t="str">
        <v xml:space="preserve"> </v>
      </c>
      <c r="P102" t="str">
        <v xml:space="preserve"> </v>
      </c>
      <c r="Q102" s="2">
        <v>44653</v>
      </c>
      <c r="R102" s="2" t="str">
        <v xml:space="preserve"> </v>
      </c>
      <c r="S102" t="str">
        <v>01/01/2018-12/31/9999</v>
      </c>
      <c r="T102" t="str">
        <v>Anthem California Care HMO</v>
      </c>
    </row>
    <row r="103" spans="1:20" x14ac:dyDescent="0.25">
      <c r="A103" s="3">
        <v>49013</v>
      </c>
      <c r="B103">
        <v>566370727</v>
      </c>
      <c r="C103" t="s">
        <v>934</v>
      </c>
      <c r="D103" t="s">
        <v>1038</v>
      </c>
      <c r="E103" t="s">
        <v>31</v>
      </c>
      <c r="F103" s="2">
        <v>43101</v>
      </c>
      <c r="H103" t="str" cm="1">
        <f t="array" aca="1" ref="H103" ca="1">CELL("address",_xlfn.XLOOKUP(A103,Sheet1!C:C,Sheet1!C:C))</f>
        <v>[match.xlsx]Sheet1!$C$446</v>
      </c>
      <c r="I103" t="str" cm="1">
        <f t="array" ref="I103:T103">_xlfn.XLOOKUP(A103,Sheet1!C:C,Sheet1!A:L)</f>
        <v>Robertson</v>
      </c>
      <c r="J103" t="str">
        <v>Thomas</v>
      </c>
      <c r="K103">
        <v>49013</v>
      </c>
      <c r="L103" t="str">
        <v>951240705-SO CAL GAS</v>
      </c>
      <c r="M103">
        <v>2022</v>
      </c>
      <c r="N103" t="str">
        <v>Individual is enrolled in a COBRA or Retiree plan coverage that was not sent on a current post-enrollment reporting year import</v>
      </c>
      <c r="O103" t="str">
        <v xml:space="preserve"> </v>
      </c>
      <c r="P103" t="str">
        <v xml:space="preserve"> </v>
      </c>
      <c r="Q103" s="2">
        <v>44653</v>
      </c>
      <c r="R103" s="2" t="str">
        <v xml:space="preserve"> </v>
      </c>
      <c r="S103" t="str">
        <v>01/01/2018-12/31/9999</v>
      </c>
      <c r="T103" t="str">
        <v>Anthem California Care HMO</v>
      </c>
    </row>
    <row r="104" spans="1:20" x14ac:dyDescent="0.25">
      <c r="A104" s="3">
        <v>39484</v>
      </c>
      <c r="B104">
        <v>554296643</v>
      </c>
      <c r="C104" t="s">
        <v>434</v>
      </c>
      <c r="D104" t="s">
        <v>431</v>
      </c>
      <c r="E104" t="s">
        <v>957</v>
      </c>
      <c r="F104" s="2">
        <v>44197</v>
      </c>
      <c r="H104" t="str" cm="1">
        <f t="array" aca="1" ref="H104" ca="1">CELL("address",_xlfn.XLOOKUP(A104,Sheet1!C:C,Sheet1!C:C))</f>
        <v>[match.xlsx]Sheet1!$C$219</v>
      </c>
      <c r="I104" t="str" cm="1">
        <f t="array" ref="I104:T104">_xlfn.XLOOKUP(A104,Sheet1!C:C,Sheet1!A:L)</f>
        <v>Hernandez</v>
      </c>
      <c r="J104" t="str">
        <v>Miguel</v>
      </c>
      <c r="K104">
        <v>39484</v>
      </c>
      <c r="L104" t="str">
        <v>951240705-SO CAL GAS</v>
      </c>
      <c r="M104">
        <v>2022</v>
      </c>
      <c r="N104" t="str">
        <v>Individual is enrolled in a COBRA or Retiree plan coverage that was not sent on a current post-enrollment reporting year import</v>
      </c>
      <c r="O104" t="str">
        <v xml:space="preserve"> </v>
      </c>
      <c r="P104" t="str">
        <v xml:space="preserve"> </v>
      </c>
      <c r="Q104" s="2">
        <v>44653</v>
      </c>
      <c r="R104" s="2" t="str">
        <v xml:space="preserve"> </v>
      </c>
      <c r="S104" t="str">
        <v>01/01/2020-12/31/9999</v>
      </c>
      <c r="T104" t="str">
        <v>Anthem Health Care Plus+</v>
      </c>
    </row>
    <row r="105" spans="1:20" x14ac:dyDescent="0.25">
      <c r="A105" s="3">
        <v>47421</v>
      </c>
      <c r="B105">
        <v>564257338</v>
      </c>
      <c r="C105" t="s">
        <v>1039</v>
      </c>
      <c r="D105" t="s">
        <v>1040</v>
      </c>
      <c r="E105" t="s">
        <v>31</v>
      </c>
      <c r="F105" s="2">
        <v>43101</v>
      </c>
      <c r="H105" t="str" cm="1">
        <f t="array" aca="1" ref="H105" ca="1">CELL("address",_xlfn.XLOOKUP(A105,Sheet1!C:C,Sheet1!C:C))</f>
        <v>[match.xlsx]Sheet1!$C$450</v>
      </c>
      <c r="I105" t="str" cm="1">
        <f t="array" ref="I105:T105">_xlfn.XLOOKUP(A105,Sheet1!C:C,Sheet1!A:L)</f>
        <v>Rocke</v>
      </c>
      <c r="J105" t="str">
        <v>Michael</v>
      </c>
      <c r="K105">
        <v>47421</v>
      </c>
      <c r="L105" t="str">
        <v>951240705-SO CAL GAS</v>
      </c>
      <c r="M105">
        <v>2022</v>
      </c>
      <c r="N105" t="str">
        <v>Individual is enrolled in a COBRA or Retiree plan coverage that was not sent on a current post-enrollment reporting year import</v>
      </c>
      <c r="O105" t="str">
        <v xml:space="preserve"> </v>
      </c>
      <c r="P105" t="str">
        <v xml:space="preserve"> </v>
      </c>
      <c r="Q105" s="2">
        <v>44653</v>
      </c>
      <c r="R105" s="2" t="str">
        <v xml:space="preserve"> </v>
      </c>
      <c r="S105" t="str">
        <v>01/01/2018-12/31/9999</v>
      </c>
      <c r="T105" t="str">
        <v>Anthem California Care HMO</v>
      </c>
    </row>
    <row r="106" spans="1:20" x14ac:dyDescent="0.25">
      <c r="A106" s="3">
        <v>44161</v>
      </c>
      <c r="B106">
        <v>560319054</v>
      </c>
      <c r="C106" t="s">
        <v>525</v>
      </c>
      <c r="D106" t="s">
        <v>695</v>
      </c>
      <c r="E106" t="s">
        <v>31</v>
      </c>
      <c r="F106" s="2">
        <v>43252</v>
      </c>
      <c r="H106" t="str" cm="1">
        <f t="array" aca="1" ref="H106" ca="1">CELL("address",_xlfn.XLOOKUP(A106,Sheet1!C:C,Sheet1!C:C))</f>
        <v>[match.xlsx]Sheet1!$C$410</v>
      </c>
      <c r="I106" t="str" cm="1">
        <f t="array" ref="I106:T106">_xlfn.XLOOKUP(A106,Sheet1!C:C,Sheet1!A:L)</f>
        <v>Perez</v>
      </c>
      <c r="J106" t="str">
        <v>Arthur</v>
      </c>
      <c r="K106">
        <v>44161</v>
      </c>
      <c r="L106" t="str">
        <v>951240705-SO CAL GAS</v>
      </c>
      <c r="M106">
        <v>2022</v>
      </c>
      <c r="N106" t="str">
        <v>Individual is enrolled in a COBRA or Retiree plan coverage that was not sent on a current post-enrollment reporting year import</v>
      </c>
      <c r="O106" t="str">
        <v xml:space="preserve"> </v>
      </c>
      <c r="P106" t="str">
        <v xml:space="preserve"> </v>
      </c>
      <c r="Q106" s="2">
        <v>44653</v>
      </c>
      <c r="R106" s="2" t="str">
        <v xml:space="preserve"> </v>
      </c>
      <c r="S106" t="str">
        <v>06/01/2018-12/31/9999</v>
      </c>
      <c r="T106" t="str">
        <v>Anthem California Care HMO</v>
      </c>
    </row>
    <row r="107" spans="1:20" x14ac:dyDescent="0.25">
      <c r="A107" s="3">
        <v>53590</v>
      </c>
      <c r="B107">
        <v>572254673</v>
      </c>
      <c r="C107" t="s">
        <v>1041</v>
      </c>
      <c r="D107" t="s">
        <v>1042</v>
      </c>
      <c r="E107" t="s">
        <v>24</v>
      </c>
      <c r="F107" s="2">
        <v>43101</v>
      </c>
      <c r="H107" t="str" cm="1">
        <f t="array" aca="1" ref="H107" ca="1">CELL("address",_xlfn.XLOOKUP(A107,Sheet1!C:C,Sheet1!C:C))</f>
        <v>[match.xlsx]Sheet1!$C$128</v>
      </c>
      <c r="I107" t="str" cm="1">
        <f t="array" ref="I107:T107">_xlfn.XLOOKUP(A107,Sheet1!C:C,Sheet1!A:L)</f>
        <v>Earnest</v>
      </c>
      <c r="J107" t="str">
        <v>Catherine</v>
      </c>
      <c r="K107">
        <v>53590</v>
      </c>
      <c r="L107" t="str">
        <v>951240705-SO CAL GAS</v>
      </c>
      <c r="M107">
        <v>2022</v>
      </c>
      <c r="N107" t="str">
        <v>Individual is enrolled in a COBRA or Retiree plan coverage that was not sent on a current post-enrollment reporting year import</v>
      </c>
      <c r="O107" t="str">
        <v xml:space="preserve"> </v>
      </c>
      <c r="P107" t="str">
        <v xml:space="preserve"> </v>
      </c>
      <c r="Q107" s="2">
        <v>44653</v>
      </c>
      <c r="R107" s="2" t="str">
        <v xml:space="preserve"> </v>
      </c>
      <c r="S107" t="str">
        <v>01/01/2018-12/31/9999</v>
      </c>
      <c r="T107" t="str">
        <v>Anthem Health Care Plus+</v>
      </c>
    </row>
    <row r="108" spans="1:20" x14ac:dyDescent="0.25">
      <c r="A108" s="3">
        <v>50401</v>
      </c>
      <c r="B108">
        <v>568135439</v>
      </c>
      <c r="C108" t="s">
        <v>1039</v>
      </c>
      <c r="D108" t="s">
        <v>1043</v>
      </c>
      <c r="E108" t="s">
        <v>969</v>
      </c>
      <c r="F108" s="2">
        <v>44621</v>
      </c>
      <c r="H108" t="str" cm="1">
        <f t="array" aca="1" ref="H108" ca="1">CELL("address",_xlfn.XLOOKUP(A108,Sheet1!C:C,Sheet1!C:C))</f>
        <v>[match.xlsx]Sheet1!$C$212</v>
      </c>
      <c r="I108" t="str" cm="1">
        <f t="array" ref="I108:T108">_xlfn.XLOOKUP(A108,Sheet1!C:C,Sheet1!A:L)</f>
        <v>Heredia</v>
      </c>
      <c r="J108" t="str">
        <v>Michael</v>
      </c>
      <c r="K108">
        <v>50401</v>
      </c>
      <c r="L108" t="str">
        <v>951240705-SO CAL GAS</v>
      </c>
      <c r="M108">
        <v>2022</v>
      </c>
      <c r="N108" t="str">
        <v>Individual is enrolled in a COBRA or Retiree plan coverage that was not sent on a current post-enrollment reporting year import</v>
      </c>
      <c r="O108" t="str">
        <v xml:space="preserve"> </v>
      </c>
      <c r="P108" t="str">
        <v xml:space="preserve"> </v>
      </c>
      <c r="Q108" s="2">
        <v>44653</v>
      </c>
      <c r="R108" s="2" t="str">
        <v xml:space="preserve"> </v>
      </c>
      <c r="S108" t="str">
        <v>02/01/2019-02/28/2022</v>
      </c>
      <c r="T108" t="str">
        <v>Anthem Health Care Plus+</v>
      </c>
    </row>
    <row r="109" spans="1:20" x14ac:dyDescent="0.25">
      <c r="A109" s="3">
        <v>25698</v>
      </c>
      <c r="B109">
        <v>109623766</v>
      </c>
      <c r="C109" t="s">
        <v>56</v>
      </c>
      <c r="D109" t="s">
        <v>55</v>
      </c>
      <c r="E109" t="s">
        <v>24</v>
      </c>
      <c r="F109" s="2">
        <v>43435</v>
      </c>
      <c r="H109" t="str" cm="1">
        <f t="array" aca="1" ref="H109" ca="1">CELL("address",_xlfn.XLOOKUP(A109,Sheet1!C:C,Sheet1!C:C))</f>
        <v>[match.xlsx]Sheet1!$C$16</v>
      </c>
      <c r="I109" t="str" cm="1">
        <f t="array" ref="I109:T109">_xlfn.XLOOKUP(A109,Sheet1!C:C,Sheet1!A:L)</f>
        <v>Avolio</v>
      </c>
      <c r="J109" t="str">
        <v>Ronald</v>
      </c>
      <c r="K109">
        <v>25698</v>
      </c>
      <c r="L109" t="str">
        <v>951240705-SO CAL GAS</v>
      </c>
      <c r="M109">
        <v>2022</v>
      </c>
      <c r="N109" t="str">
        <v>Individual is enrolled in a COBRA or Retiree plan coverage that was not sent on a current post-enrollment reporting year import</v>
      </c>
      <c r="O109" t="str">
        <v xml:space="preserve"> </v>
      </c>
      <c r="P109" t="str">
        <v xml:space="preserve"> </v>
      </c>
      <c r="Q109" s="2">
        <v>44653</v>
      </c>
      <c r="R109" s="2" t="str">
        <v xml:space="preserve"> </v>
      </c>
      <c r="S109" t="str">
        <v>12/01/2018-12/31/9999</v>
      </c>
      <c r="T109" t="str">
        <v>Anthem Health Care Plus+</v>
      </c>
    </row>
    <row r="110" spans="1:20" x14ac:dyDescent="0.25">
      <c r="A110" s="3">
        <v>42654</v>
      </c>
      <c r="B110">
        <v>558338290</v>
      </c>
      <c r="C110" t="s">
        <v>283</v>
      </c>
      <c r="D110" t="s">
        <v>527</v>
      </c>
      <c r="E110" t="s">
        <v>31</v>
      </c>
      <c r="F110" s="2">
        <v>43922</v>
      </c>
      <c r="H110" t="str" cm="1">
        <f t="array" aca="1" ref="H110" ca="1">CELL("address",_xlfn.XLOOKUP(A110,Sheet1!C:C,Sheet1!C:C))</f>
        <v>[match.xlsx]Sheet1!$C$283</v>
      </c>
      <c r="I110" t="str" cm="1">
        <f t="array" ref="I110:T110">_xlfn.XLOOKUP(A110,Sheet1!C:C,Sheet1!A:L)</f>
        <v>Lauterio</v>
      </c>
      <c r="J110" t="str">
        <v>Catherine</v>
      </c>
      <c r="K110">
        <v>42654</v>
      </c>
      <c r="L110" t="str">
        <v>951240705-SO CAL GAS</v>
      </c>
      <c r="M110">
        <v>2022</v>
      </c>
      <c r="N110" t="str">
        <v>Individual is enrolled in a COBRA or Retiree plan coverage that was not sent on a current post-enrollment reporting year import</v>
      </c>
      <c r="O110" t="str">
        <v xml:space="preserve"> </v>
      </c>
      <c r="P110" t="str">
        <v xml:space="preserve"> </v>
      </c>
      <c r="Q110" s="2">
        <v>44653</v>
      </c>
      <c r="R110" s="2" t="str">
        <v xml:space="preserve"> </v>
      </c>
      <c r="S110" t="str">
        <v>04/01/2020-12/31/9999</v>
      </c>
      <c r="T110" t="str">
        <v>Anthem California Care HMO</v>
      </c>
    </row>
    <row r="111" spans="1:20" x14ac:dyDescent="0.25">
      <c r="A111" s="3">
        <v>44236</v>
      </c>
      <c r="B111">
        <v>560410993</v>
      </c>
      <c r="C111" t="s">
        <v>1044</v>
      </c>
      <c r="D111" t="s">
        <v>1045</v>
      </c>
      <c r="E111" t="s">
        <v>71</v>
      </c>
      <c r="F111" s="2">
        <v>43101</v>
      </c>
      <c r="H111" t="str" cm="1">
        <f t="array" aca="1" ref="H111" ca="1">CELL("address",_xlfn.XLOOKUP(A111,Sheet1!C:C,Sheet1!C:C))</f>
        <v>[match.xlsx]Sheet1!$C$261</v>
      </c>
      <c r="I111" t="str" cm="1">
        <f t="array" ref="I111:T111">_xlfn.XLOOKUP(A111,Sheet1!C:C,Sheet1!A:L)</f>
        <v>Kim</v>
      </c>
      <c r="J111" t="str">
        <v>Agnes</v>
      </c>
      <c r="K111">
        <v>44236</v>
      </c>
      <c r="L111" t="str">
        <v>951240705-SO CAL GAS</v>
      </c>
      <c r="M111">
        <v>2022</v>
      </c>
      <c r="N111" t="str">
        <v>Individual is enrolled in a COBRA or Retiree plan coverage that was not sent on a current post-enrollment reporting year import</v>
      </c>
      <c r="O111" t="str">
        <v xml:space="preserve"> </v>
      </c>
      <c r="P111" t="str">
        <v xml:space="preserve"> </v>
      </c>
      <c r="Q111" s="2">
        <v>44653</v>
      </c>
      <c r="R111" s="2" t="str">
        <v xml:space="preserve"> </v>
      </c>
      <c r="S111" t="str">
        <v>01/01/2018-12/31/9999</v>
      </c>
      <c r="T111" t="str">
        <v>Anthem Select HMO</v>
      </c>
    </row>
    <row r="112" spans="1:20" x14ac:dyDescent="0.25">
      <c r="A112" s="3">
        <v>43067</v>
      </c>
      <c r="B112">
        <v>558889787</v>
      </c>
      <c r="C112" t="s">
        <v>1046</v>
      </c>
      <c r="D112" t="s">
        <v>1047</v>
      </c>
      <c r="E112" t="s">
        <v>969</v>
      </c>
      <c r="F112" s="2">
        <v>44348</v>
      </c>
      <c r="H112" t="str" cm="1">
        <f t="array" aca="1" ref="H112" ca="1">CELL("address",_xlfn.XLOOKUP(A112,Sheet1!C:C,Sheet1!C:C))</f>
        <v>[match.xlsx]Sheet1!$C$173</v>
      </c>
      <c r="I112" t="str" cm="1">
        <f t="array" ref="I112:T112">_xlfn.XLOOKUP(A112,Sheet1!C:C,Sheet1!A:L)</f>
        <v>Gillard</v>
      </c>
      <c r="J112" t="str">
        <v>Toby</v>
      </c>
      <c r="K112">
        <v>43067</v>
      </c>
      <c r="L112" t="str">
        <v>951240705-SO CAL GAS</v>
      </c>
      <c r="M112">
        <v>2022</v>
      </c>
      <c r="N112" t="str">
        <v>Individual is enrolled in a COBRA or Retiree plan coverage that was not sent on a current post-enrollment reporting year import</v>
      </c>
      <c r="O112" t="str">
        <v xml:space="preserve"> </v>
      </c>
      <c r="P112" t="str">
        <v xml:space="preserve"> </v>
      </c>
      <c r="Q112" s="2">
        <v>44653</v>
      </c>
      <c r="R112" s="2" t="str">
        <v xml:space="preserve"> </v>
      </c>
      <c r="S112" t="str">
        <v>01/01/2018-12/31/9999</v>
      </c>
      <c r="T112" t="str">
        <v>Anthem California Care HMO</v>
      </c>
    </row>
    <row r="113" spans="1:20" x14ac:dyDescent="0.25">
      <c r="A113" s="3">
        <v>42352</v>
      </c>
      <c r="B113">
        <v>557986348</v>
      </c>
      <c r="C113" t="s">
        <v>301</v>
      </c>
      <c r="D113" t="s">
        <v>613</v>
      </c>
      <c r="E113" t="s">
        <v>31</v>
      </c>
      <c r="F113" s="2">
        <v>44013</v>
      </c>
      <c r="H113" t="str" cm="1">
        <f t="array" aca="1" ref="H113" ca="1">CELL("address",_xlfn.XLOOKUP(A113,Sheet1!C:C,Sheet1!C:C))</f>
        <v>[match.xlsx]Sheet1!$C$347</v>
      </c>
      <c r="I113" t="str" cm="1">
        <f t="array" ref="I113:T113">_xlfn.XLOOKUP(A113,Sheet1!C:C,Sheet1!A:L)</f>
        <v>Medina</v>
      </c>
      <c r="J113" t="str">
        <v>Raymond</v>
      </c>
      <c r="K113">
        <v>42352</v>
      </c>
      <c r="L113" t="str">
        <v>951240705-SO CAL GAS</v>
      </c>
      <c r="M113">
        <v>2022</v>
      </c>
      <c r="N113" t="str">
        <v>Individual is enrolled in a COBRA or Retiree plan coverage that was not sent on a current post-enrollment reporting year import</v>
      </c>
      <c r="O113" t="str">
        <v xml:space="preserve"> </v>
      </c>
      <c r="P113" t="str">
        <v xml:space="preserve"> </v>
      </c>
      <c r="Q113" s="2">
        <v>44653</v>
      </c>
      <c r="R113" s="2" t="str">
        <v xml:space="preserve"> </v>
      </c>
      <c r="S113" t="str">
        <v>07/01/2020-12/31/9999</v>
      </c>
      <c r="T113" t="str">
        <v>Anthem California Care HMO</v>
      </c>
    </row>
    <row r="114" spans="1:20" x14ac:dyDescent="0.25">
      <c r="A114" s="3">
        <v>32601</v>
      </c>
      <c r="B114">
        <v>545234008</v>
      </c>
      <c r="C114" t="s">
        <v>330</v>
      </c>
      <c r="D114" t="s">
        <v>329</v>
      </c>
      <c r="E114" t="s">
        <v>954</v>
      </c>
      <c r="F114" s="2">
        <v>44470</v>
      </c>
      <c r="H114" t="str" cm="1">
        <f t="array" aca="1" ref="H114" ca="1">CELL("address",_xlfn.XLOOKUP(A114,Sheet1!C:C,Sheet1!C:C))</f>
        <v>[match.xlsx]Sheet1!$C$156</v>
      </c>
      <c r="I114" t="str" cm="1">
        <f t="array" ref="I114:T114">_xlfn.XLOOKUP(A114,Sheet1!C:C,Sheet1!A:L)</f>
        <v>Fort</v>
      </c>
      <c r="J114" t="str">
        <v>Randall</v>
      </c>
      <c r="K114">
        <v>32601</v>
      </c>
      <c r="L114" t="str">
        <v>951240705-SO CAL GAS</v>
      </c>
      <c r="M114">
        <v>2022</v>
      </c>
      <c r="N114" t="str">
        <v>Individual is enrolled in a COBRA or Retiree plan coverage that was not sent on a current post-enrollment reporting year import</v>
      </c>
      <c r="O114" t="str">
        <v xml:space="preserve"> </v>
      </c>
      <c r="P114" t="str">
        <v xml:space="preserve"> </v>
      </c>
      <c r="Q114" s="2">
        <v>44653</v>
      </c>
      <c r="R114" s="2" t="str">
        <v xml:space="preserve"> </v>
      </c>
      <c r="S114" t="str">
        <v>01/01/2019-12/31/9999</v>
      </c>
      <c r="T114" t="str">
        <v>Anthem Select HMO</v>
      </c>
    </row>
    <row r="115" spans="1:20" x14ac:dyDescent="0.25">
      <c r="A115" s="3">
        <v>32508</v>
      </c>
      <c r="B115">
        <v>545119330</v>
      </c>
      <c r="C115" t="s">
        <v>990</v>
      </c>
      <c r="D115" t="s">
        <v>1048</v>
      </c>
      <c r="E115" t="s">
        <v>31</v>
      </c>
      <c r="F115" s="2">
        <v>43101</v>
      </c>
      <c r="H115" t="str" cm="1">
        <f t="array" aca="1" ref="H115" ca="1">CELL("address",_xlfn.XLOOKUP(A115,Sheet1!C:C,Sheet1!C:C))</f>
        <v>[match.xlsx]Sheet1!$C$591</v>
      </c>
      <c r="I115" t="str" cm="1">
        <f t="array" ref="I115:T115">_xlfn.XLOOKUP(A115,Sheet1!C:C,Sheet1!A:L)</f>
        <v>Young</v>
      </c>
      <c r="J115" t="str">
        <v>Robert</v>
      </c>
      <c r="K115">
        <v>32508</v>
      </c>
      <c r="L115" t="str">
        <v>951240705-SO CAL GAS</v>
      </c>
      <c r="M115">
        <v>2022</v>
      </c>
      <c r="N115" t="str">
        <v>Individual is enrolled in a COBRA or Retiree plan coverage that was not sent on a current post-enrollment reporting year import</v>
      </c>
      <c r="O115" t="str">
        <v xml:space="preserve"> </v>
      </c>
      <c r="P115" t="str">
        <v xml:space="preserve"> </v>
      </c>
      <c r="Q115" s="2">
        <v>44653</v>
      </c>
      <c r="R115" s="2" t="str">
        <v xml:space="preserve"> </v>
      </c>
      <c r="S115" t="str">
        <v>01/01/2018-12/31/9999</v>
      </c>
      <c r="T115" t="str">
        <v>Anthem California Care HMO</v>
      </c>
    </row>
    <row r="116" spans="1:20" x14ac:dyDescent="0.25">
      <c r="A116" s="3">
        <v>46126</v>
      </c>
      <c r="B116">
        <v>562434319</v>
      </c>
      <c r="C116" t="s">
        <v>1049</v>
      </c>
      <c r="D116" t="s">
        <v>1050</v>
      </c>
      <c r="E116" t="s">
        <v>24</v>
      </c>
      <c r="F116" s="2">
        <v>43101</v>
      </c>
      <c r="H116" t="str" cm="1">
        <f t="array" aca="1" ref="H116" ca="1">CELL("address",_xlfn.XLOOKUP(A116,Sheet1!C:C,Sheet1!C:C))</f>
        <v>[match.xlsx]Sheet1!$C$96</v>
      </c>
      <c r="I116" t="str" cm="1">
        <f t="array" ref="I116:T116">_xlfn.XLOOKUP(A116,Sheet1!C:C,Sheet1!A:L)</f>
        <v>Costa</v>
      </c>
      <c r="J116" t="str">
        <v>Beth</v>
      </c>
      <c r="K116">
        <v>46126</v>
      </c>
      <c r="L116" t="str">
        <v>951240705-SO CAL GAS</v>
      </c>
      <c r="M116">
        <v>2022</v>
      </c>
      <c r="N116" t="str">
        <v>Individual is enrolled in a COBRA or Retiree plan coverage that was not sent on a current post-enrollment reporting year import</v>
      </c>
      <c r="O116" t="str">
        <v xml:space="preserve"> </v>
      </c>
      <c r="P116" t="str">
        <v xml:space="preserve"> </v>
      </c>
      <c r="Q116" s="2">
        <v>44653</v>
      </c>
      <c r="R116" s="2" t="str">
        <v xml:space="preserve"> </v>
      </c>
      <c r="S116" t="str">
        <v>01/01/2018-12/31/9999</v>
      </c>
      <c r="T116" t="str">
        <v>Anthem Health Care Plus+</v>
      </c>
    </row>
    <row r="117" spans="1:20" x14ac:dyDescent="0.25">
      <c r="A117" s="3">
        <v>50253</v>
      </c>
      <c r="B117">
        <v>567944965</v>
      </c>
      <c r="C117" t="s">
        <v>736</v>
      </c>
      <c r="D117" t="s">
        <v>735</v>
      </c>
      <c r="E117" t="s">
        <v>969</v>
      </c>
      <c r="F117" s="2">
        <v>44348</v>
      </c>
      <c r="H117" t="str" cm="1">
        <f t="array" aca="1" ref="H117" ca="1">CELL("address",_xlfn.XLOOKUP(A117,Sheet1!C:C,Sheet1!C:C))</f>
        <v>[match.xlsx]Sheet1!$C$441</v>
      </c>
      <c r="I117" t="str" cm="1">
        <f t="array" ref="I117:T117">_xlfn.XLOOKUP(A117,Sheet1!C:C,Sheet1!A:L)</f>
        <v>Rivera</v>
      </c>
      <c r="J117" t="str">
        <v>Ruben</v>
      </c>
      <c r="K117">
        <v>50253</v>
      </c>
      <c r="L117" t="str">
        <v>951240705-SO CAL GAS</v>
      </c>
      <c r="M117">
        <v>2022</v>
      </c>
      <c r="N117" t="str">
        <v>Individual is enrolled in a COBRA or Retiree plan coverage that was not sent on a current post-enrollment reporting year import</v>
      </c>
      <c r="O117" t="str">
        <v xml:space="preserve"> </v>
      </c>
      <c r="P117" t="str">
        <v xml:space="preserve"> </v>
      </c>
      <c r="Q117" s="2">
        <v>44653</v>
      </c>
      <c r="R117" s="2" t="str">
        <v xml:space="preserve"> </v>
      </c>
      <c r="S117" t="str">
        <v>08/01/2018-12/31/9999</v>
      </c>
      <c r="T117" t="str">
        <v>Anthem Health Care Plus+</v>
      </c>
    </row>
    <row r="118" spans="1:20" x14ac:dyDescent="0.25">
      <c r="A118" s="3">
        <v>49097</v>
      </c>
      <c r="B118">
        <v>566433105</v>
      </c>
      <c r="C118" t="s">
        <v>1051</v>
      </c>
      <c r="D118" t="s">
        <v>1052</v>
      </c>
      <c r="E118" t="s">
        <v>46</v>
      </c>
      <c r="F118" s="2">
        <v>43770</v>
      </c>
      <c r="H118" t="str" cm="1">
        <f t="array" aca="1" ref="H118" ca="1">CELL("address",_xlfn.XLOOKUP(A118,Sheet1!C:C,Sheet1!C:C))</f>
        <v>[match.xlsx]Sheet1!$C$517</v>
      </c>
      <c r="I118" t="str" cm="1">
        <f t="array" ref="I118:T118">_xlfn.XLOOKUP(A118,Sheet1!C:C,Sheet1!A:L)</f>
        <v>Steelman</v>
      </c>
      <c r="J118" t="str">
        <v>Kenneth</v>
      </c>
      <c r="K118">
        <v>49097</v>
      </c>
      <c r="L118" t="str">
        <v>951240705-SO CAL GAS</v>
      </c>
      <c r="M118">
        <v>2022</v>
      </c>
      <c r="N118" t="str">
        <v>Individual is enrolled in a COBRA or Retiree plan coverage that was not sent on a current post-enrollment reporting year import</v>
      </c>
      <c r="O118" t="str">
        <v xml:space="preserve"> </v>
      </c>
      <c r="P118" t="str">
        <v xml:space="preserve"> </v>
      </c>
      <c r="Q118" s="2">
        <v>44653</v>
      </c>
      <c r="R118" s="2" t="str">
        <v xml:space="preserve"> </v>
      </c>
      <c r="S118" t="str">
        <v>11/01/2019-12/31/9999</v>
      </c>
      <c r="T118" t="str">
        <v>Anthem PPO Out-of-CA</v>
      </c>
    </row>
    <row r="119" spans="1:20" x14ac:dyDescent="0.25">
      <c r="A119" s="3">
        <v>35578</v>
      </c>
      <c r="B119">
        <v>549116546</v>
      </c>
      <c r="C119" t="s">
        <v>1053</v>
      </c>
      <c r="D119" t="s">
        <v>1054</v>
      </c>
      <c r="E119" t="s">
        <v>24</v>
      </c>
      <c r="F119" s="2">
        <v>43282</v>
      </c>
      <c r="H119" t="str" cm="1">
        <f t="array" aca="1" ref="H119" ca="1">CELL("address",_xlfn.XLOOKUP(A119,Sheet1!C:C,Sheet1!C:C))</f>
        <v>[match.xlsx]Sheet1!$C$484</v>
      </c>
      <c r="I119" t="str" cm="1">
        <f t="array" ref="I119:T119">_xlfn.XLOOKUP(A119,Sheet1!C:C,Sheet1!A:L)</f>
        <v>Segovia</v>
      </c>
      <c r="J119" t="str">
        <v>Juan</v>
      </c>
      <c r="K119">
        <v>35578</v>
      </c>
      <c r="L119" t="str">
        <v>951240705-SO CAL GAS</v>
      </c>
      <c r="M119">
        <v>2022</v>
      </c>
      <c r="N119" t="str">
        <v>Individual is enrolled in a COBRA or Retiree plan coverage that was not sent on a current post-enrollment reporting year import</v>
      </c>
      <c r="O119" t="str">
        <v xml:space="preserve"> </v>
      </c>
      <c r="P119" t="str">
        <v xml:space="preserve"> </v>
      </c>
      <c r="Q119" s="2">
        <v>44653</v>
      </c>
      <c r="R119" s="2" t="str">
        <v xml:space="preserve"> </v>
      </c>
      <c r="S119" t="str">
        <v>07/01/2018-12/31/9999</v>
      </c>
      <c r="T119" t="str">
        <v>Anthem Health Care Plus+</v>
      </c>
    </row>
    <row r="120" spans="1:20" x14ac:dyDescent="0.25">
      <c r="A120" s="3">
        <v>48797</v>
      </c>
      <c r="B120">
        <v>566063216</v>
      </c>
      <c r="C120" t="s">
        <v>934</v>
      </c>
      <c r="D120" t="s">
        <v>1055</v>
      </c>
      <c r="E120" t="s">
        <v>969</v>
      </c>
      <c r="F120" s="2">
        <v>43678</v>
      </c>
      <c r="H120" t="str" cm="1">
        <f t="array" aca="1" ref="H120" ca="1">CELL("address",_xlfn.XLOOKUP(A120,Sheet1!C:C,Sheet1!C:C))</f>
        <v>[match.xlsx]Sheet1!$C$483</v>
      </c>
      <c r="I120" t="str" cm="1">
        <f t="array" ref="I120:T120">_xlfn.XLOOKUP(A120,Sheet1!C:C,Sheet1!A:L)</f>
        <v>Seers</v>
      </c>
      <c r="J120" t="str">
        <v>Thomas</v>
      </c>
      <c r="K120">
        <v>48797</v>
      </c>
      <c r="L120" t="str">
        <v>951240705-SO CAL GAS</v>
      </c>
      <c r="M120">
        <v>2022</v>
      </c>
      <c r="N120" t="str">
        <v>Individual is enrolled in a COBRA or Retiree plan coverage that was not sent on a current post-enrollment reporting year import</v>
      </c>
      <c r="O120" t="str">
        <v xml:space="preserve"> </v>
      </c>
      <c r="P120" t="str">
        <v xml:space="preserve"> </v>
      </c>
      <c r="Q120" s="2">
        <v>44653</v>
      </c>
      <c r="R120" s="2" t="str">
        <v xml:space="preserve"> </v>
      </c>
      <c r="S120" t="str">
        <v>01/01/2019-12/31/9999</v>
      </c>
      <c r="T120" t="str">
        <v>Anthem California Care HMO</v>
      </c>
    </row>
    <row r="121" spans="1:20" x14ac:dyDescent="0.25">
      <c r="A121" s="3">
        <v>63504</v>
      </c>
      <c r="B121">
        <v>570258470</v>
      </c>
      <c r="C121" t="s">
        <v>424</v>
      </c>
      <c r="D121" t="s">
        <v>440</v>
      </c>
      <c r="E121" t="s">
        <v>24</v>
      </c>
      <c r="F121" s="2">
        <v>44105</v>
      </c>
      <c r="H121" t="str" cm="1">
        <f t="array" aca="1" ref="H121" ca="1">CELL("address",_xlfn.XLOOKUP(A121,Sheet1!C:C,Sheet1!C:C))</f>
        <v>[match.xlsx]Sheet1!$C$223</v>
      </c>
      <c r="I121" t="str" cm="1">
        <f t="array" ref="I121:T121">_xlfn.XLOOKUP(A121,Sheet1!C:C,Sheet1!A:L)</f>
        <v>Hinde</v>
      </c>
      <c r="J121" t="str">
        <v>Brian</v>
      </c>
      <c r="K121">
        <v>63504</v>
      </c>
      <c r="L121" t="str">
        <v>951240705-SO CAL GAS</v>
      </c>
      <c r="M121">
        <v>2022</v>
      </c>
      <c r="N121" t="str">
        <v>Individual is enrolled in a COBRA or Retiree plan coverage that was not sent on a current post-enrollment reporting year import</v>
      </c>
      <c r="O121" t="str">
        <v xml:space="preserve"> </v>
      </c>
      <c r="P121" t="str">
        <v xml:space="preserve"> </v>
      </c>
      <c r="Q121" s="2">
        <v>44653</v>
      </c>
      <c r="R121" s="2" t="str">
        <v xml:space="preserve"> </v>
      </c>
      <c r="S121" t="str">
        <v>10/01/2020-12/31/9999</v>
      </c>
      <c r="T121" t="str">
        <v>Anthem Health Care Plus+</v>
      </c>
    </row>
    <row r="122" spans="1:20" x14ac:dyDescent="0.25">
      <c r="A122" s="3">
        <v>25259</v>
      </c>
      <c r="B122">
        <v>43667561</v>
      </c>
      <c r="C122" t="s">
        <v>1056</v>
      </c>
      <c r="D122" t="s">
        <v>1057</v>
      </c>
      <c r="E122" t="s">
        <v>71</v>
      </c>
      <c r="F122" s="2">
        <v>43101</v>
      </c>
      <c r="H122" t="str" cm="1">
        <f t="array" aca="1" ref="H122" ca="1">CELL("address",_xlfn.XLOOKUP(A122,Sheet1!C:C,Sheet1!C:C))</f>
        <v>[match.xlsx]Sheet1!$C$543</v>
      </c>
      <c r="I122" t="str" cm="1">
        <f t="array" ref="I122:T122">_xlfn.XLOOKUP(A122,Sheet1!C:C,Sheet1!A:L)</f>
        <v>Trinidad</v>
      </c>
      <c r="J122" t="str">
        <v>Maria Jesusa</v>
      </c>
      <c r="K122">
        <v>25259</v>
      </c>
      <c r="L122" t="str">
        <v>951240705-SO CAL GAS</v>
      </c>
      <c r="M122">
        <v>2022</v>
      </c>
      <c r="N122" t="str">
        <v>Individual is enrolled in a COBRA or Retiree plan coverage that was not sent on a current post-enrollment reporting year import</v>
      </c>
      <c r="O122" t="str">
        <v xml:space="preserve"> </v>
      </c>
      <c r="P122" t="str">
        <v xml:space="preserve"> </v>
      </c>
      <c r="Q122" s="2">
        <v>44653</v>
      </c>
      <c r="R122" s="2" t="str">
        <v xml:space="preserve"> </v>
      </c>
      <c r="S122" t="str">
        <v>01/01/2018-12/31/9999</v>
      </c>
      <c r="T122" t="str">
        <v>Anthem Select HMO</v>
      </c>
    </row>
    <row r="123" spans="1:20" x14ac:dyDescent="0.25">
      <c r="A123" s="3">
        <v>35604</v>
      </c>
      <c r="B123">
        <v>549137793</v>
      </c>
      <c r="C123" t="s">
        <v>316</v>
      </c>
      <c r="D123" t="s">
        <v>743</v>
      </c>
      <c r="E123" t="s">
        <v>31</v>
      </c>
      <c r="F123" s="2">
        <v>43221</v>
      </c>
      <c r="H123" t="str" cm="1">
        <f t="array" aca="1" ref="H123" ca="1">CELL("address",_xlfn.XLOOKUP(A123,Sheet1!C:C,Sheet1!C:C))</f>
        <v>[match.xlsx]Sheet1!$C$449</v>
      </c>
      <c r="I123" t="str" cm="1">
        <f t="array" ref="I123:T123">_xlfn.XLOOKUP(A123,Sheet1!C:C,Sheet1!A:L)</f>
        <v>Robles</v>
      </c>
      <c r="J123" t="str">
        <v>Francisco</v>
      </c>
      <c r="K123">
        <v>35604</v>
      </c>
      <c r="L123" t="str">
        <v>951240705-SO CAL GAS</v>
      </c>
      <c r="M123">
        <v>2022</v>
      </c>
      <c r="N123" t="str">
        <v>Individual is enrolled in a COBRA or Retiree plan coverage that was not sent on a current post-enrollment reporting year import</v>
      </c>
      <c r="O123" t="str">
        <v xml:space="preserve"> </v>
      </c>
      <c r="P123" t="str">
        <v xml:space="preserve"> </v>
      </c>
      <c r="Q123" s="2">
        <v>44653</v>
      </c>
      <c r="R123" s="2" t="str">
        <v xml:space="preserve"> </v>
      </c>
      <c r="S123" t="str">
        <v>05/01/2018-12/31/9999</v>
      </c>
      <c r="T123" t="str">
        <v>Anthem California Care HMO</v>
      </c>
    </row>
    <row r="124" spans="1:20" x14ac:dyDescent="0.25">
      <c r="A124" s="3">
        <v>41804</v>
      </c>
      <c r="B124">
        <v>557257224</v>
      </c>
      <c r="C124" t="s">
        <v>1058</v>
      </c>
      <c r="D124" t="s">
        <v>1059</v>
      </c>
      <c r="E124" t="s">
        <v>24</v>
      </c>
      <c r="F124" s="2">
        <v>43101</v>
      </c>
      <c r="H124" t="str" cm="1">
        <f t="array" aca="1" ref="H124" ca="1">CELL("address",_xlfn.XLOOKUP(A124,Sheet1!C:C,Sheet1!C:C))</f>
        <v>[match.xlsx]Sheet1!$C$598</v>
      </c>
      <c r="I124" t="str" cm="1">
        <f t="array" ref="I124:T124">_xlfn.XLOOKUP(A124,Sheet1!C:C,Sheet1!A:L)</f>
        <v>Zaura</v>
      </c>
      <c r="J124" t="str">
        <v>Victor</v>
      </c>
      <c r="K124">
        <v>41804</v>
      </c>
      <c r="L124" t="str">
        <v>951240705-SO CAL GAS</v>
      </c>
      <c r="M124">
        <v>2022</v>
      </c>
      <c r="N124" t="str">
        <v>Individual is enrolled in a COBRA or Retiree plan coverage that was not sent on a current post-enrollment reporting year import</v>
      </c>
      <c r="O124" t="str">
        <v xml:space="preserve"> </v>
      </c>
      <c r="P124" t="str">
        <v xml:space="preserve"> </v>
      </c>
      <c r="Q124" s="2">
        <v>44653</v>
      </c>
      <c r="R124" s="2" t="str">
        <v xml:space="preserve"> </v>
      </c>
      <c r="S124" t="str">
        <v>01/01/2018-12/31/9999</v>
      </c>
      <c r="T124" t="str">
        <v>Anthem Health Care Plus+</v>
      </c>
    </row>
    <row r="125" spans="1:20" x14ac:dyDescent="0.25">
      <c r="A125" s="3">
        <v>49812</v>
      </c>
      <c r="B125">
        <v>567396179</v>
      </c>
      <c r="C125" t="s">
        <v>330</v>
      </c>
      <c r="D125" t="s">
        <v>644</v>
      </c>
      <c r="E125" t="s">
        <v>24</v>
      </c>
      <c r="F125" s="2">
        <v>43800</v>
      </c>
      <c r="H125" t="str" cm="1">
        <f t="array" aca="1" ref="H125" ca="1">CELL("address",_xlfn.XLOOKUP(A125,Sheet1!C:C,Sheet1!C:C))</f>
        <v>[match.xlsx]Sheet1!$C$369</v>
      </c>
      <c r="I125" t="str" cm="1">
        <f t="array" ref="I125:T125">_xlfn.XLOOKUP(A125,Sheet1!C:C,Sheet1!A:L)</f>
        <v>Mullen</v>
      </c>
      <c r="J125" t="str">
        <v>Randall</v>
      </c>
      <c r="K125">
        <v>49812</v>
      </c>
      <c r="L125" t="str">
        <v>951240705-SO CAL GAS</v>
      </c>
      <c r="M125">
        <v>2022</v>
      </c>
      <c r="N125" t="str">
        <v>Individual is enrolled in a COBRA or Retiree plan coverage that was not sent on a current post-enrollment reporting year import</v>
      </c>
      <c r="O125" t="str">
        <v xml:space="preserve"> </v>
      </c>
      <c r="P125" t="str">
        <v xml:space="preserve"> </v>
      </c>
      <c r="Q125" s="2">
        <v>44653</v>
      </c>
      <c r="R125" s="2" t="str">
        <v xml:space="preserve"> </v>
      </c>
      <c r="S125" t="str">
        <v>12/01/2019-12/31/9999</v>
      </c>
      <c r="T125" t="str">
        <v>Anthem Health Care Plus+</v>
      </c>
    </row>
    <row r="126" spans="1:20" x14ac:dyDescent="0.25">
      <c r="A126" s="3">
        <v>33230</v>
      </c>
      <c r="B126">
        <v>546179933</v>
      </c>
      <c r="C126" t="s">
        <v>660</v>
      </c>
      <c r="D126" t="s">
        <v>659</v>
      </c>
      <c r="E126" t="s">
        <v>24</v>
      </c>
      <c r="F126" s="2">
        <v>44075</v>
      </c>
      <c r="H126" t="str" cm="1">
        <f t="array" aca="1" ref="H126" ca="1">CELL("address",_xlfn.XLOOKUP(A126,Sheet1!C:C,Sheet1!C:C))</f>
        <v>[match.xlsx]Sheet1!$C$381</v>
      </c>
      <c r="I126" t="str" cm="1">
        <f t="array" ref="I126:T126">_xlfn.XLOOKUP(A126,Sheet1!C:C,Sheet1!A:L)</f>
        <v>Nerone</v>
      </c>
      <c r="J126" t="str">
        <v>Crystal</v>
      </c>
      <c r="K126">
        <v>33230</v>
      </c>
      <c r="L126" t="str">
        <v>951240705-SO CAL GAS</v>
      </c>
      <c r="M126">
        <v>2022</v>
      </c>
      <c r="N126" t="str">
        <v>Individual is enrolled in a COBRA or Retiree plan coverage that was not sent on a current post-enrollment reporting year import</v>
      </c>
      <c r="O126" t="str">
        <v xml:space="preserve"> </v>
      </c>
      <c r="P126" t="str">
        <v xml:space="preserve"> </v>
      </c>
      <c r="Q126" s="2">
        <v>44653</v>
      </c>
      <c r="R126" s="2" t="str">
        <v xml:space="preserve"> </v>
      </c>
      <c r="S126" t="str">
        <v>09/01/2020-12/31/9999</v>
      </c>
      <c r="T126" t="str">
        <v>Anthem Health Care Plus+</v>
      </c>
    </row>
    <row r="127" spans="1:20" x14ac:dyDescent="0.25">
      <c r="A127" s="3">
        <v>36329</v>
      </c>
      <c r="B127">
        <v>550135671</v>
      </c>
      <c r="C127" t="s">
        <v>1036</v>
      </c>
      <c r="D127" t="s">
        <v>1060</v>
      </c>
      <c r="E127" t="s">
        <v>969</v>
      </c>
      <c r="F127" s="2">
        <v>44593</v>
      </c>
      <c r="H127" t="str" cm="1">
        <f t="array" aca="1" ref="H127" ca="1">CELL("address",_xlfn.XLOOKUP(A127,Sheet1!C:C,Sheet1!C:C))</f>
        <v>[match.xlsx]Sheet1!$C$587</v>
      </c>
      <c r="I127" t="str" cm="1">
        <f t="array" ref="I127:T127">_xlfn.XLOOKUP(A127,Sheet1!C:C,Sheet1!A:L)</f>
        <v>Wright</v>
      </c>
      <c r="J127" t="str">
        <v>Donald</v>
      </c>
      <c r="K127">
        <v>36329</v>
      </c>
      <c r="L127" t="str">
        <v>951240705-SO CAL GAS</v>
      </c>
      <c r="M127">
        <v>2022</v>
      </c>
      <c r="N127" t="str">
        <v>Individual is enrolled in a COBRA or Retiree plan coverage that was not sent on a current post-enrollment reporting year import</v>
      </c>
      <c r="O127" t="str">
        <v xml:space="preserve"> </v>
      </c>
      <c r="P127" t="str">
        <v xml:space="preserve"> </v>
      </c>
      <c r="Q127" s="2">
        <v>44653</v>
      </c>
      <c r="R127" s="2" t="str">
        <v xml:space="preserve"> </v>
      </c>
      <c r="S127" t="str">
        <v>01/01/2020-01/31/2022</v>
      </c>
      <c r="T127" t="str">
        <v>Anthem California Care HMO</v>
      </c>
    </row>
    <row r="128" spans="1:20" x14ac:dyDescent="0.25">
      <c r="A128" s="3">
        <v>46455</v>
      </c>
      <c r="B128">
        <v>562981355</v>
      </c>
      <c r="C128" t="s">
        <v>1061</v>
      </c>
      <c r="D128" t="s">
        <v>1062</v>
      </c>
      <c r="E128" t="s">
        <v>71</v>
      </c>
      <c r="F128" s="2">
        <v>43101</v>
      </c>
      <c r="H128" t="str" cm="1">
        <f t="array" aca="1" ref="H128" ca="1">CELL("address",_xlfn.XLOOKUP(A128,Sheet1!C:C,Sheet1!C:C))</f>
        <v>[match.xlsx]Sheet1!$C$241</v>
      </c>
      <c r="I128" t="str" cm="1">
        <f t="array" ref="I128:T128">_xlfn.XLOOKUP(A128,Sheet1!C:C,Sheet1!A:L)</f>
        <v>Jenks</v>
      </c>
      <c r="J128" t="str">
        <v>Phillip</v>
      </c>
      <c r="K128">
        <v>46455</v>
      </c>
      <c r="L128" t="str">
        <v>951240705-SO CAL GAS</v>
      </c>
      <c r="M128">
        <v>2022</v>
      </c>
      <c r="N128" t="str">
        <v>Individual is enrolled in a COBRA or Retiree plan coverage that was not sent on a current post-enrollment reporting year import</v>
      </c>
      <c r="O128" t="str">
        <v xml:space="preserve"> </v>
      </c>
      <c r="P128" t="str">
        <v xml:space="preserve"> </v>
      </c>
      <c r="Q128" s="2">
        <v>44653</v>
      </c>
      <c r="R128" s="2" t="str">
        <v xml:space="preserve"> </v>
      </c>
      <c r="S128" t="str">
        <v>01/01/2018-12/31/9999</v>
      </c>
      <c r="T128" t="str">
        <v>Anthem Select HMO</v>
      </c>
    </row>
    <row r="129" spans="1:20" x14ac:dyDescent="0.25">
      <c r="A129" s="3">
        <v>27553</v>
      </c>
      <c r="B129">
        <v>313702403</v>
      </c>
      <c r="C129" t="s">
        <v>898</v>
      </c>
      <c r="D129" t="s">
        <v>897</v>
      </c>
      <c r="E129" t="s">
        <v>24</v>
      </c>
      <c r="F129" s="2">
        <v>43952</v>
      </c>
      <c r="H129" t="str" cm="1">
        <f t="array" aca="1" ref="H129" ca="1">CELL("address",_xlfn.XLOOKUP(A129,Sheet1!C:C,Sheet1!C:C))</f>
        <v>[match.xlsx]Sheet1!$C$576</v>
      </c>
      <c r="I129" t="str" cm="1">
        <f t="array" ref="I129:T129">_xlfn.XLOOKUP(A129,Sheet1!C:C,Sheet1!A:L)</f>
        <v>Wimbley</v>
      </c>
      <c r="J129" t="str">
        <v>Birdie</v>
      </c>
      <c r="K129">
        <v>27553</v>
      </c>
      <c r="L129" t="str">
        <v>951240705-SO CAL GAS</v>
      </c>
      <c r="M129">
        <v>2022</v>
      </c>
      <c r="N129" t="str">
        <v>Individual is enrolled in a COBRA or Retiree plan coverage that was not sent on a current post-enrollment reporting year import</v>
      </c>
      <c r="O129" t="str">
        <v xml:space="preserve"> </v>
      </c>
      <c r="P129" t="str">
        <v xml:space="preserve"> </v>
      </c>
      <c r="Q129" s="2">
        <v>44653</v>
      </c>
      <c r="R129" s="2" t="str">
        <v xml:space="preserve"> </v>
      </c>
      <c r="S129" t="str">
        <v>05/01/2020-12/31/9999</v>
      </c>
      <c r="T129" t="str">
        <v>Anthem Health Care Plus+</v>
      </c>
    </row>
    <row r="130" spans="1:20" x14ac:dyDescent="0.25">
      <c r="A130" s="3">
        <v>38739</v>
      </c>
      <c r="B130">
        <v>553274991</v>
      </c>
      <c r="C130" t="s">
        <v>574</v>
      </c>
      <c r="D130" t="s">
        <v>812</v>
      </c>
      <c r="E130" t="s">
        <v>24</v>
      </c>
      <c r="F130" s="2">
        <v>43435</v>
      </c>
      <c r="H130" t="str" cm="1">
        <f t="array" aca="1" ref="H130" ca="1">CELL("address",_xlfn.XLOOKUP(A130,Sheet1!C:C,Sheet1!C:C))</f>
        <v>[match.xlsx]Sheet1!$C$514</v>
      </c>
      <c r="I130" t="str" cm="1">
        <f t="array" ref="I130:T130">_xlfn.XLOOKUP(A130,Sheet1!C:C,Sheet1!A:L)</f>
        <v>Sperakos</v>
      </c>
      <c r="J130" t="str">
        <v>Mark</v>
      </c>
      <c r="K130">
        <v>38739</v>
      </c>
      <c r="L130" t="str">
        <v>951240705-SO CAL GAS</v>
      </c>
      <c r="M130">
        <v>2022</v>
      </c>
      <c r="N130" t="str">
        <v>Individual is enrolled in a COBRA or Retiree plan coverage that was not sent on a current post-enrollment reporting year import</v>
      </c>
      <c r="O130" t="str">
        <v xml:space="preserve"> </v>
      </c>
      <c r="P130" t="str">
        <v xml:space="preserve"> </v>
      </c>
      <c r="Q130" s="2">
        <v>44653</v>
      </c>
      <c r="R130" s="2" t="str">
        <v xml:space="preserve"> </v>
      </c>
      <c r="S130" t="str">
        <v>12/01/2018-12/31/9999</v>
      </c>
      <c r="T130" t="str">
        <v>Anthem Health Care Plus+</v>
      </c>
    </row>
    <row r="131" spans="1:20" x14ac:dyDescent="0.25">
      <c r="A131" s="3">
        <v>42280</v>
      </c>
      <c r="B131">
        <v>557843580</v>
      </c>
      <c r="C131" t="s">
        <v>1063</v>
      </c>
      <c r="D131" t="s">
        <v>1038</v>
      </c>
      <c r="E131" t="s">
        <v>966</v>
      </c>
      <c r="F131" s="2">
        <v>44136</v>
      </c>
      <c r="H131" t="str" cm="1">
        <f t="array" aca="1" ref="H131" ca="1">CELL("address",_xlfn.XLOOKUP(A131,Sheet1!C:C,Sheet1!C:C))</f>
        <v>[match.xlsx]Sheet1!$C$445</v>
      </c>
      <c r="I131" t="str" cm="1">
        <f t="array" ref="I131:T131">_xlfn.XLOOKUP(A131,Sheet1!C:C,Sheet1!A:L)</f>
        <v>Robertson</v>
      </c>
      <c r="J131" t="str">
        <v>Daniel</v>
      </c>
      <c r="K131">
        <v>42280</v>
      </c>
      <c r="L131" t="str">
        <v>951240705-SO CAL GAS</v>
      </c>
      <c r="M131">
        <v>2022</v>
      </c>
      <c r="N131" t="str">
        <v>Individual is enrolled in a COBRA or Retiree plan coverage that was not sent on a current post-enrollment reporting year import</v>
      </c>
      <c r="O131" t="str">
        <v xml:space="preserve"> </v>
      </c>
      <c r="P131" t="str">
        <v xml:space="preserve"> </v>
      </c>
      <c r="Q131" s="2">
        <v>44653</v>
      </c>
      <c r="R131" s="2" t="str">
        <v xml:space="preserve"> </v>
      </c>
      <c r="S131" t="str">
        <v>01/01/2018-12/31/9999</v>
      </c>
      <c r="T131" t="str">
        <v>Anthem California Care HMO</v>
      </c>
    </row>
    <row r="132" spans="1:20" x14ac:dyDescent="0.25">
      <c r="A132" s="3">
        <v>33103</v>
      </c>
      <c r="B132">
        <v>545962633</v>
      </c>
      <c r="C132" t="s">
        <v>1064</v>
      </c>
      <c r="D132" t="s">
        <v>1065</v>
      </c>
      <c r="E132" t="s">
        <v>969</v>
      </c>
      <c r="F132" s="2">
        <v>43525</v>
      </c>
      <c r="H132" t="str" cm="1">
        <f t="array" aca="1" ref="H132" ca="1">CELL("address",_xlfn.XLOOKUP(A132,Sheet1!C:C,Sheet1!C:C))</f>
        <v>[match.xlsx]Sheet1!$C$232</v>
      </c>
      <c r="I132" t="str" cm="1">
        <f t="array" ref="I132:T132">_xlfn.XLOOKUP(A132,Sheet1!C:C,Sheet1!A:L)</f>
        <v>Inohara</v>
      </c>
      <c r="J132" t="str">
        <v>Glenn</v>
      </c>
      <c r="K132">
        <v>33103</v>
      </c>
      <c r="L132" t="str">
        <v>951240705-SO CAL GAS</v>
      </c>
      <c r="M132">
        <v>2022</v>
      </c>
      <c r="N132" t="str">
        <v>Individual is enrolled in a COBRA or Retiree plan coverage that was not sent on a current post-enrollment reporting year import</v>
      </c>
      <c r="O132" t="str">
        <v xml:space="preserve"> </v>
      </c>
      <c r="P132" t="str">
        <v xml:space="preserve"> </v>
      </c>
      <c r="Q132" s="2">
        <v>44653</v>
      </c>
      <c r="R132" s="2" t="str">
        <v xml:space="preserve"> </v>
      </c>
      <c r="S132" t="str">
        <v>01/01/2019-12/31/9999</v>
      </c>
      <c r="T132" t="str">
        <v>Anthem California Care HMO</v>
      </c>
    </row>
    <row r="133" spans="1:20" x14ac:dyDescent="0.25">
      <c r="A133" s="3">
        <v>12913</v>
      </c>
      <c r="B133">
        <v>562359104</v>
      </c>
      <c r="C133" t="s">
        <v>33</v>
      </c>
      <c r="D133" t="s">
        <v>177</v>
      </c>
      <c r="E133" t="s">
        <v>24</v>
      </c>
      <c r="F133" s="2">
        <v>44044</v>
      </c>
      <c r="H133" t="str" cm="1">
        <f t="array" aca="1" ref="H133" ca="1">CELL("address",_xlfn.XLOOKUP(A133,Sheet1!C:C,Sheet1!C:C))</f>
        <v>[match.xlsx]Sheet1!$C$71</v>
      </c>
      <c r="I133" t="str" cm="1">
        <f t="array" ref="I133:T133">_xlfn.XLOOKUP(A133,Sheet1!C:C,Sheet1!A:L)</f>
        <v>Campos</v>
      </c>
      <c r="J133" t="str">
        <v>Juan</v>
      </c>
      <c r="K133">
        <v>12913</v>
      </c>
      <c r="L133" t="str">
        <v>453715016-SEMPRA INFRASTRUCTURE LLC</v>
      </c>
      <c r="M133">
        <v>2022</v>
      </c>
      <c r="N133" t="str">
        <v>Individual is enrolled in a COBRA or Retiree plan coverage that was not sent on a current post-enrollment reporting year import</v>
      </c>
      <c r="O133" t="str">
        <v xml:space="preserve"> </v>
      </c>
      <c r="P133" t="str">
        <v xml:space="preserve"> </v>
      </c>
      <c r="Q133" s="2">
        <v>44653</v>
      </c>
      <c r="R133" s="2" t="str">
        <v xml:space="preserve"> </v>
      </c>
      <c r="S133" t="str">
        <v>08/01/2020-12/31/9999</v>
      </c>
      <c r="T133" t="str">
        <v>Anthem Health Care Plus+</v>
      </c>
    </row>
    <row r="134" spans="1:20" x14ac:dyDescent="0.25">
      <c r="A134" s="3">
        <v>49810</v>
      </c>
      <c r="B134">
        <v>567395740</v>
      </c>
      <c r="C134" t="s">
        <v>74</v>
      </c>
      <c r="D134" t="s">
        <v>866</v>
      </c>
      <c r="E134" t="s">
        <v>71</v>
      </c>
      <c r="F134" s="2">
        <v>43647</v>
      </c>
      <c r="H134" t="str" cm="1">
        <f t="array" aca="1" ref="H134" ca="1">CELL("address",_xlfn.XLOOKUP(A134,Sheet1!C:C,Sheet1!C:C))</f>
        <v>[match.xlsx]Sheet1!$C$553</v>
      </c>
      <c r="I134" t="str" cm="1">
        <f t="array" ref="I134:T134">_xlfn.XLOOKUP(A134,Sheet1!C:C,Sheet1!A:L)</f>
        <v>Valles</v>
      </c>
      <c r="J134" t="str">
        <v>John</v>
      </c>
      <c r="K134">
        <v>49810</v>
      </c>
      <c r="L134" t="str">
        <v>951240705-SO CAL GAS</v>
      </c>
      <c r="M134">
        <v>2022</v>
      </c>
      <c r="N134" t="str">
        <v>Individual is enrolled in a COBRA or Retiree plan coverage that was not sent on a current post-enrollment reporting year import</v>
      </c>
      <c r="O134" t="str">
        <v xml:space="preserve"> </v>
      </c>
      <c r="P134" t="str">
        <v xml:space="preserve"> </v>
      </c>
      <c r="Q134" s="2">
        <v>44653</v>
      </c>
      <c r="R134" s="2" t="str">
        <v xml:space="preserve"> </v>
      </c>
      <c r="S134" t="str">
        <v>07/01/2019-12/31/9999</v>
      </c>
      <c r="T134" t="str">
        <v>Anthem Select HMO</v>
      </c>
    </row>
    <row r="135" spans="1:20" x14ac:dyDescent="0.25">
      <c r="A135" s="3">
        <v>23143</v>
      </c>
      <c r="B135">
        <v>552944995</v>
      </c>
      <c r="C135" t="s">
        <v>679</v>
      </c>
      <c r="D135" t="s">
        <v>639</v>
      </c>
      <c r="E135" t="s">
        <v>969</v>
      </c>
      <c r="F135" s="2">
        <v>43344</v>
      </c>
      <c r="H135" t="str" cm="1">
        <f t="array" aca="1" ref="H135" ca="1">CELL("address",_xlfn.XLOOKUP(A135,Sheet1!C:C,Sheet1!C:C))</f>
        <v>[match.xlsx]Sheet1!$C$398</v>
      </c>
      <c r="I135" t="str" cm="1">
        <f t="array" ref="I135:T135">_xlfn.XLOOKUP(A135,Sheet1!C:C,Sheet1!A:L)</f>
        <v>Oliver</v>
      </c>
      <c r="J135" t="str">
        <v>Stephanie</v>
      </c>
      <c r="K135">
        <v>23143</v>
      </c>
      <c r="L135" t="str">
        <v>951184800-SAN DIEGO GAS &amp; ELECTRIC</v>
      </c>
      <c r="M135">
        <v>2022</v>
      </c>
      <c r="N135" t="str">
        <v>Individual is enrolled in a COBRA or Retiree plan coverage that was not sent on a current post-enrollment reporting year import</v>
      </c>
      <c r="O135" t="str">
        <v xml:space="preserve"> </v>
      </c>
      <c r="P135" t="str">
        <v xml:space="preserve"> </v>
      </c>
      <c r="Q135" s="2">
        <v>44653</v>
      </c>
      <c r="R135" s="2" t="str">
        <v xml:space="preserve"> </v>
      </c>
      <c r="S135" t="str">
        <v>01/01/2018-12/31/9999</v>
      </c>
      <c r="T135" t="str">
        <v>Anthem Select Plus HMO</v>
      </c>
    </row>
    <row r="136" spans="1:20" x14ac:dyDescent="0.25">
      <c r="A136" s="3">
        <v>30077</v>
      </c>
      <c r="B136">
        <v>557271875</v>
      </c>
      <c r="C136" t="s">
        <v>187</v>
      </c>
      <c r="D136" t="s">
        <v>344</v>
      </c>
      <c r="E136" t="s">
        <v>24</v>
      </c>
      <c r="F136" s="2">
        <v>43435</v>
      </c>
      <c r="H136" t="str" cm="1">
        <f t="array" aca="1" ref="H136" ca="1">CELL("address",_xlfn.XLOOKUP(A136,Sheet1!C:C,Sheet1!C:C))</f>
        <v>[match.xlsx]Sheet1!$C$164</v>
      </c>
      <c r="I136" t="str" cm="1">
        <f t="array" ref="I136:T136">_xlfn.XLOOKUP(A136,Sheet1!C:C,Sheet1!A:L)</f>
        <v>Furlong</v>
      </c>
      <c r="J136" t="str">
        <v>Denise</v>
      </c>
      <c r="K136">
        <v>30077</v>
      </c>
      <c r="L136" t="str">
        <v>951184800-SAN DIEGO GAS &amp; ELECTRIC</v>
      </c>
      <c r="M136">
        <v>2022</v>
      </c>
      <c r="N136" t="str">
        <v>Individual is enrolled in a COBRA or Retiree plan coverage that was not sent on a current post-enrollment reporting year import</v>
      </c>
      <c r="O136" t="str">
        <v xml:space="preserve"> </v>
      </c>
      <c r="P136" t="str">
        <v xml:space="preserve"> </v>
      </c>
      <c r="Q136" s="2">
        <v>44653</v>
      </c>
      <c r="R136" s="2" t="str">
        <v xml:space="preserve"> </v>
      </c>
      <c r="S136" t="str">
        <v>12/01/2018-12/31/9999</v>
      </c>
      <c r="T136" t="str">
        <v>Anthem Health Care Plus+</v>
      </c>
    </row>
    <row r="137" spans="1:20" x14ac:dyDescent="0.25">
      <c r="A137" s="3">
        <v>22525</v>
      </c>
      <c r="B137">
        <v>567377529</v>
      </c>
      <c r="C137" t="s">
        <v>258</v>
      </c>
      <c r="D137" t="s">
        <v>257</v>
      </c>
      <c r="E137" t="s">
        <v>71</v>
      </c>
      <c r="F137" s="2">
        <v>43770</v>
      </c>
      <c r="H137" t="str" cm="1">
        <f t="array" aca="1" ref="H137" ca="1">CELL("address",_xlfn.XLOOKUP(A137,Sheet1!C:C,Sheet1!C:C))</f>
        <v>[match.xlsx]Sheet1!$C$115</v>
      </c>
      <c r="I137" t="str" cm="1">
        <f t="array" ref="I137:T137">_xlfn.XLOOKUP(A137,Sheet1!C:C,Sheet1!A:L)</f>
        <v>Dibella</v>
      </c>
      <c r="J137" t="str">
        <v>Anthony</v>
      </c>
      <c r="K137">
        <v>22525</v>
      </c>
      <c r="L137" t="str">
        <v>951184800-SAN DIEGO GAS &amp; ELECTRIC</v>
      </c>
      <c r="M137">
        <v>2022</v>
      </c>
      <c r="N137" t="str">
        <v>Individual is enrolled in a COBRA or Retiree plan coverage that was not sent on a current post-enrollment reporting year import</v>
      </c>
      <c r="O137" t="str">
        <v xml:space="preserve"> </v>
      </c>
      <c r="P137" t="str">
        <v xml:space="preserve"> </v>
      </c>
      <c r="Q137" s="2">
        <v>44653</v>
      </c>
      <c r="R137" s="2" t="str">
        <v xml:space="preserve"> </v>
      </c>
      <c r="S137" t="str">
        <v>11/01/2019-12/31/9999</v>
      </c>
      <c r="T137" t="str">
        <v>Anthem Select HMO</v>
      </c>
    </row>
    <row r="138" spans="1:20" x14ac:dyDescent="0.25">
      <c r="A138" s="3">
        <v>86249</v>
      </c>
      <c r="B138">
        <v>559234990</v>
      </c>
      <c r="C138" t="s">
        <v>837</v>
      </c>
      <c r="D138" t="s">
        <v>836</v>
      </c>
      <c r="E138" t="s">
        <v>936</v>
      </c>
      <c r="F138" s="2">
        <v>43831</v>
      </c>
      <c r="H138" t="str" cm="1">
        <f t="array" aca="1" ref="H138" ca="1">CELL("address",_xlfn.XLOOKUP(A138,Sheet1!C:C,Sheet1!C:C))</f>
        <v>[match.xlsx]Sheet1!$C$531</v>
      </c>
      <c r="I138" t="str" cm="1">
        <f t="array" ref="I138:T138">_xlfn.XLOOKUP(A138,Sheet1!C:C,Sheet1!A:L)</f>
        <v>Tellez-Giron</v>
      </c>
      <c r="J138" t="str">
        <v>Arturo</v>
      </c>
      <c r="K138">
        <v>86249</v>
      </c>
      <c r="L138" t="str">
        <v>951184800-SAN DIEGO GAS &amp; ELECTRIC</v>
      </c>
      <c r="M138">
        <v>2022</v>
      </c>
      <c r="N138" t="str">
        <v>Individual is enrolled in a COBRA or Retiree plan coverage that was not sent on a current post-enrollment reporting year import</v>
      </c>
      <c r="O138" t="str">
        <v xml:space="preserve"> </v>
      </c>
      <c r="P138" t="str">
        <v xml:space="preserve"> </v>
      </c>
      <c r="Q138" s="2">
        <v>44653</v>
      </c>
      <c r="R138" s="2" t="str">
        <v xml:space="preserve"> </v>
      </c>
      <c r="S138" t="str">
        <v>01/01/2019-12/31/9999</v>
      </c>
      <c r="T138" t="str">
        <v>Anthem Select HMO</v>
      </c>
    </row>
    <row r="139" spans="1:20" x14ac:dyDescent="0.25">
      <c r="A139" s="3">
        <v>36869</v>
      </c>
      <c r="B139">
        <v>550901159</v>
      </c>
      <c r="C139" t="s">
        <v>1066</v>
      </c>
      <c r="D139" t="s">
        <v>1067</v>
      </c>
      <c r="E139" t="s">
        <v>969</v>
      </c>
      <c r="F139" s="2">
        <v>44197</v>
      </c>
      <c r="H139" t="str" cm="1">
        <f t="array" aca="1" ref="H139" ca="1">CELL("address",_xlfn.XLOOKUP(A139,Sheet1!C:C,Sheet1!C:C))</f>
        <v>[match.xlsx]Sheet1!$C$463</v>
      </c>
      <c r="I139" t="str" cm="1">
        <f t="array" ref="I139:T139">_xlfn.XLOOKUP(A139,Sheet1!C:C,Sheet1!A:L)</f>
        <v>Rumsey</v>
      </c>
      <c r="J139" t="str">
        <v>Sharon</v>
      </c>
      <c r="K139">
        <v>36869</v>
      </c>
      <c r="L139" t="str">
        <v>951184800-SAN DIEGO GAS &amp; ELECTRIC</v>
      </c>
      <c r="M139">
        <v>2022</v>
      </c>
      <c r="N139" t="str">
        <v>Individual is enrolled in a COBRA or Retiree plan coverage that was not sent on a current post-enrollment reporting year import</v>
      </c>
      <c r="O139" t="str">
        <v xml:space="preserve"> </v>
      </c>
      <c r="P139" t="str">
        <v xml:space="preserve"> </v>
      </c>
      <c r="Q139" s="2">
        <v>44653</v>
      </c>
      <c r="R139" s="2" t="str">
        <v xml:space="preserve"> </v>
      </c>
      <c r="S139" t="str">
        <v>01/01/2018-12/31/9999</v>
      </c>
      <c r="T139" t="str">
        <v>Anthem Select Plus HMO</v>
      </c>
    </row>
    <row r="140" spans="1:20" x14ac:dyDescent="0.25">
      <c r="A140" s="3">
        <v>4171</v>
      </c>
      <c r="B140">
        <v>380764502</v>
      </c>
      <c r="C140" t="s">
        <v>563</v>
      </c>
      <c r="D140" t="s">
        <v>562</v>
      </c>
      <c r="E140" t="s">
        <v>71</v>
      </c>
      <c r="F140" s="2">
        <v>43525</v>
      </c>
      <c r="H140" t="str" cm="1">
        <f t="array" aca="1" ref="H140" ca="1">CELL("address",_xlfn.XLOOKUP(A140,Sheet1!C:C,Sheet1!C:C))</f>
        <v>[match.xlsx]Sheet1!$C$310</v>
      </c>
      <c r="I140" t="str" cm="1">
        <f t="array" ref="I140:T140">_xlfn.XLOOKUP(A140,Sheet1!C:C,Sheet1!A:L)</f>
        <v>Long</v>
      </c>
      <c r="J140" t="str">
        <v>Tamie</v>
      </c>
      <c r="K140">
        <v>4171</v>
      </c>
      <c r="L140" t="str">
        <v>951184800-SAN DIEGO GAS &amp; ELECTRIC</v>
      </c>
      <c r="M140">
        <v>2022</v>
      </c>
      <c r="N140" t="str">
        <v>Individual is enrolled in a COBRA or Retiree plan coverage that was not sent on a current post-enrollment reporting year import</v>
      </c>
      <c r="O140" t="str">
        <v xml:space="preserve"> </v>
      </c>
      <c r="P140" t="str">
        <v xml:space="preserve"> </v>
      </c>
      <c r="Q140" s="2">
        <v>44653</v>
      </c>
      <c r="R140" s="2" t="str">
        <v xml:space="preserve"> </v>
      </c>
      <c r="S140" t="str">
        <v>03/01/2019-12/31/9999</v>
      </c>
      <c r="T140" t="str">
        <v>Anthem Select HMO</v>
      </c>
    </row>
    <row r="141" spans="1:20" x14ac:dyDescent="0.25">
      <c r="A141" s="3">
        <v>20213</v>
      </c>
      <c r="B141">
        <v>469744953</v>
      </c>
      <c r="C141" t="s">
        <v>229</v>
      </c>
      <c r="D141" t="s">
        <v>228</v>
      </c>
      <c r="E141" t="s">
        <v>969</v>
      </c>
      <c r="F141" s="2">
        <v>44317</v>
      </c>
      <c r="H141" t="str" cm="1">
        <f t="array" aca="1" ref="H141" ca="1">CELL("address",_xlfn.XLOOKUP(A141,Sheet1!C:C,Sheet1!C:C))</f>
        <v>[match.xlsx]Sheet1!$C$98</v>
      </c>
      <c r="I141" t="str" cm="1">
        <f t="array" ref="I141:T141">_xlfn.XLOOKUP(A141,Sheet1!C:C,Sheet1!A:L)</f>
        <v>Criss</v>
      </c>
      <c r="J141" t="str">
        <v>Curtis</v>
      </c>
      <c r="K141">
        <v>20213</v>
      </c>
      <c r="L141" t="str">
        <v>951184800-SAN DIEGO GAS &amp; ELECTRIC</v>
      </c>
      <c r="M141">
        <v>2022</v>
      </c>
      <c r="N141" t="str">
        <v>Individual is enrolled in a COBRA or Retiree plan coverage that was not sent on a current post-enrollment reporting year import</v>
      </c>
      <c r="O141" t="str">
        <v xml:space="preserve"> </v>
      </c>
      <c r="P141" t="str">
        <v xml:space="preserve"> </v>
      </c>
      <c r="Q141" s="2">
        <v>44653</v>
      </c>
      <c r="R141" s="2" t="str">
        <v xml:space="preserve"> </v>
      </c>
      <c r="S141" t="str">
        <v>02/01/2019-12/31/9999</v>
      </c>
      <c r="T141" t="str">
        <v>Anthem Health Care Plus+</v>
      </c>
    </row>
    <row r="142" spans="1:20" x14ac:dyDescent="0.25">
      <c r="A142" s="3">
        <v>41160</v>
      </c>
      <c r="B142">
        <v>556473018</v>
      </c>
      <c r="C142" t="s">
        <v>1068</v>
      </c>
      <c r="D142" t="s">
        <v>1069</v>
      </c>
      <c r="E142" t="s">
        <v>1070</v>
      </c>
      <c r="F142" s="2">
        <v>43101</v>
      </c>
      <c r="H142" t="str" cm="1">
        <f t="array" aca="1" ref="H142" ca="1">CELL("address",_xlfn.XLOOKUP(A142,Sheet1!C:C,Sheet1!C:C))</f>
        <v>[match.xlsx]Sheet1!$C$151</v>
      </c>
      <c r="I142" t="str" cm="1">
        <f t="array" ref="I142:T142">_xlfn.XLOOKUP(A142,Sheet1!C:C,Sheet1!A:L)</f>
        <v>Flowers</v>
      </c>
      <c r="J142" t="str">
        <v>Joanne</v>
      </c>
      <c r="K142">
        <v>41160</v>
      </c>
      <c r="L142" t="str">
        <v>951240705-SO CAL GAS</v>
      </c>
      <c r="M142">
        <v>2022</v>
      </c>
      <c r="N142" t="str">
        <v>Individual is enrolled in a COBRA or Retiree plan coverage that was not sent on a current post-enrollment reporting year import</v>
      </c>
      <c r="O142" t="str">
        <v xml:space="preserve"> </v>
      </c>
      <c r="P142" t="str">
        <v xml:space="preserve"> </v>
      </c>
      <c r="Q142" s="2">
        <v>44653</v>
      </c>
      <c r="R142" s="2" t="str">
        <v xml:space="preserve"> </v>
      </c>
      <c r="S142" t="str">
        <v>01/01/2018-12/31/9999</v>
      </c>
      <c r="T142" t="str">
        <v>Anthem Health Care Plus+</v>
      </c>
    </row>
    <row r="143" spans="1:20" x14ac:dyDescent="0.25">
      <c r="A143" s="3">
        <v>74588</v>
      </c>
      <c r="B143">
        <v>558158594</v>
      </c>
      <c r="C143" t="s">
        <v>990</v>
      </c>
      <c r="D143" t="s">
        <v>1071</v>
      </c>
      <c r="E143" t="s">
        <v>24</v>
      </c>
      <c r="F143" s="2">
        <v>43101</v>
      </c>
      <c r="H143" t="str" cm="1">
        <f t="array" aca="1" ref="H143" ca="1">CELL("address",_xlfn.XLOOKUP(A143,Sheet1!C:C,Sheet1!C:C))</f>
        <v>[match.xlsx]Sheet1!$C$460</v>
      </c>
      <c r="I143" t="str" cm="1">
        <f t="array" ref="I143:T143">_xlfn.XLOOKUP(A143,Sheet1!C:C,Sheet1!A:L)</f>
        <v>Rubin</v>
      </c>
      <c r="J143" t="str">
        <v>Robert</v>
      </c>
      <c r="K143">
        <v>74588</v>
      </c>
      <c r="L143" t="str">
        <v>951184800-SAN DIEGO GAS &amp; ELECTRIC</v>
      </c>
      <c r="M143">
        <v>2022</v>
      </c>
      <c r="N143" t="str">
        <v>Individual is enrolled in a COBRA or Retiree plan coverage that was not sent on a current post-enrollment reporting year import</v>
      </c>
      <c r="O143" t="str">
        <v xml:space="preserve"> </v>
      </c>
      <c r="P143" t="str">
        <v xml:space="preserve"> </v>
      </c>
      <c r="Q143" s="2">
        <v>44653</v>
      </c>
      <c r="R143" s="2" t="str">
        <v xml:space="preserve"> </v>
      </c>
      <c r="S143" t="str">
        <v>01/01/2018-12/31/9999</v>
      </c>
      <c r="T143" t="str">
        <v>Anthem Health Care Plus+</v>
      </c>
    </row>
    <row r="144" spans="1:20" x14ac:dyDescent="0.25">
      <c r="A144" s="3">
        <v>18697</v>
      </c>
      <c r="B144">
        <v>527438692</v>
      </c>
      <c r="C144" t="s">
        <v>122</v>
      </c>
      <c r="D144" t="s">
        <v>361</v>
      </c>
      <c r="E144" t="s">
        <v>24</v>
      </c>
      <c r="F144" s="2">
        <v>43647</v>
      </c>
      <c r="H144" t="str" cm="1">
        <f t="array" aca="1" ref="H144" ca="1">CELL("address",_xlfn.XLOOKUP(A144,Sheet1!C:C,Sheet1!C:C))</f>
        <v>[match.xlsx]Sheet1!$C$174</v>
      </c>
      <c r="I144" t="str" cm="1">
        <f t="array" ref="I144:T144">_xlfn.XLOOKUP(A144,Sheet1!C:C,Sheet1!A:L)</f>
        <v>Gillespie</v>
      </c>
      <c r="J144" t="str">
        <v>Kevin</v>
      </c>
      <c r="K144">
        <v>18697</v>
      </c>
      <c r="L144" t="str">
        <v>264364859-SEMPRA RENEWABLES SERVICES INC</v>
      </c>
      <c r="M144">
        <v>2022</v>
      </c>
      <c r="N144" t="str">
        <v>Individual is enrolled in a COBRA or Retiree plan coverage that was not sent on a current post-enrollment reporting year import</v>
      </c>
      <c r="O144" t="str">
        <v xml:space="preserve"> </v>
      </c>
      <c r="P144" t="str">
        <v xml:space="preserve"> </v>
      </c>
      <c r="Q144" s="2">
        <v>44653</v>
      </c>
      <c r="R144" s="2" t="str">
        <v xml:space="preserve"> </v>
      </c>
      <c r="S144" t="str">
        <v>07/01/2019-12/31/9999</v>
      </c>
      <c r="T144" t="str">
        <v>Anthem Health Care Plus+</v>
      </c>
    </row>
    <row r="145" spans="1:20" x14ac:dyDescent="0.25">
      <c r="A145" s="3">
        <v>2906</v>
      </c>
      <c r="B145">
        <v>570113638</v>
      </c>
      <c r="C145" t="s">
        <v>1072</v>
      </c>
      <c r="D145" t="s">
        <v>1073</v>
      </c>
      <c r="E145" t="s">
        <v>1070</v>
      </c>
      <c r="F145" s="2">
        <v>43160</v>
      </c>
      <c r="H145" t="str" cm="1">
        <f t="array" aca="1" ref="H145" ca="1">CELL("address",_xlfn.XLOOKUP(A145,Sheet1!C:C,Sheet1!C:C))</f>
        <v>[match.xlsx]Sheet1!$C$177</v>
      </c>
      <c r="I145" t="str" cm="1">
        <f t="array" ref="I145:T145">_xlfn.XLOOKUP(A145,Sheet1!C:C,Sheet1!A:L)</f>
        <v>Godoy</v>
      </c>
      <c r="J145" t="str">
        <v>Tammy</v>
      </c>
      <c r="K145">
        <v>2906</v>
      </c>
      <c r="L145" t="str">
        <v>951184800-SAN DIEGO GAS &amp; ELECTRIC</v>
      </c>
      <c r="M145">
        <v>2022</v>
      </c>
      <c r="N145" t="str">
        <v>Individual is enrolled in a COBRA or Retiree plan coverage that was not sent on a current post-enrollment reporting year import</v>
      </c>
      <c r="O145" t="str">
        <v xml:space="preserve"> </v>
      </c>
      <c r="P145" t="str">
        <v xml:space="preserve"> </v>
      </c>
      <c r="Q145" s="2">
        <v>44653</v>
      </c>
      <c r="R145" s="2" t="str">
        <v xml:space="preserve"> </v>
      </c>
      <c r="S145" t="str">
        <v>01/01/2018-12/31/9999</v>
      </c>
      <c r="T145" t="str">
        <v>Anthem Health Care Plus+</v>
      </c>
    </row>
    <row r="146" spans="1:20" x14ac:dyDescent="0.25">
      <c r="A146" s="3">
        <v>37567</v>
      </c>
      <c r="B146">
        <v>552041537</v>
      </c>
      <c r="C146" t="s">
        <v>95</v>
      </c>
      <c r="D146" t="s">
        <v>427</v>
      </c>
      <c r="E146" t="s">
        <v>954</v>
      </c>
      <c r="F146" s="2">
        <v>43831</v>
      </c>
      <c r="H146" t="str" cm="1">
        <f t="array" aca="1" ref="H146" ca="1">CELL("address",_xlfn.XLOOKUP(A146,Sheet1!C:C,Sheet1!C:C))</f>
        <v>[match.xlsx]Sheet1!$C$213</v>
      </c>
      <c r="I146" t="str" cm="1">
        <f t="array" ref="I146:T146">_xlfn.XLOOKUP(A146,Sheet1!C:C,Sheet1!A:L)</f>
        <v>Herle</v>
      </c>
      <c r="J146" t="str">
        <v>Karen</v>
      </c>
      <c r="K146">
        <v>37567</v>
      </c>
      <c r="L146" t="str">
        <v>951240705-SO CAL GAS</v>
      </c>
      <c r="M146">
        <v>2022</v>
      </c>
      <c r="N146" t="str">
        <v>Individual is enrolled in a COBRA or Retiree plan coverage that was not sent on a current post-enrollment reporting year import</v>
      </c>
      <c r="O146" t="str">
        <v xml:space="preserve"> </v>
      </c>
      <c r="P146" t="str">
        <v xml:space="preserve"> </v>
      </c>
      <c r="Q146" s="2">
        <v>44653</v>
      </c>
      <c r="R146" s="2" t="str">
        <v xml:space="preserve"> </v>
      </c>
      <c r="S146" t="str">
        <v>01/01/2019-12/31/9999</v>
      </c>
      <c r="T146" t="str">
        <v>Anthem Health Care Plus+</v>
      </c>
    </row>
    <row r="147" spans="1:20" x14ac:dyDescent="0.25">
      <c r="A147" s="3">
        <v>55036</v>
      </c>
      <c r="B147">
        <v>573966587</v>
      </c>
      <c r="C147" t="s">
        <v>1032</v>
      </c>
      <c r="D147" t="s">
        <v>1074</v>
      </c>
      <c r="E147" t="s">
        <v>31</v>
      </c>
      <c r="F147" s="2">
        <v>43466</v>
      </c>
      <c r="H147" t="str" cm="1">
        <f t="array" aca="1" ref="H147" ca="1">CELL("address",_xlfn.XLOOKUP(A147,Sheet1!C:C,Sheet1!C:C))</f>
        <v>[match.xlsx]Sheet1!$C$266</v>
      </c>
      <c r="I147" t="str" cm="1">
        <f t="array" ref="I147:T147">_xlfn.XLOOKUP(A147,Sheet1!C:C,Sheet1!A:L)</f>
        <v>Koelle</v>
      </c>
      <c r="J147" t="str">
        <v>Dennis</v>
      </c>
      <c r="K147">
        <v>55036</v>
      </c>
      <c r="L147" t="str">
        <v>951240705-SO CAL GAS</v>
      </c>
      <c r="M147">
        <v>2022</v>
      </c>
      <c r="N147" t="str">
        <v>Individual is enrolled in a COBRA or Retiree plan coverage that was not sent on a current post-enrollment reporting year import</v>
      </c>
      <c r="O147" t="str">
        <v xml:space="preserve"> </v>
      </c>
      <c r="P147" t="str">
        <v xml:space="preserve"> </v>
      </c>
      <c r="Q147" s="2">
        <v>44653</v>
      </c>
      <c r="R147" s="2" t="str">
        <v xml:space="preserve"> </v>
      </c>
      <c r="S147" t="str">
        <v>01/01/2019-12/31/9999</v>
      </c>
      <c r="T147" t="str">
        <v>Anthem California Care HMO</v>
      </c>
    </row>
    <row r="148" spans="1:20" x14ac:dyDescent="0.25">
      <c r="A148" s="3">
        <v>54298</v>
      </c>
      <c r="B148">
        <v>573156274</v>
      </c>
      <c r="C148" t="s">
        <v>1075</v>
      </c>
      <c r="D148" t="s">
        <v>1076</v>
      </c>
      <c r="E148" t="s">
        <v>31</v>
      </c>
      <c r="F148" s="2">
        <v>43466</v>
      </c>
      <c r="H148" t="str" cm="1">
        <f t="array" aca="1" ref="H148" ca="1">CELL("address",_xlfn.XLOOKUP(A148,Sheet1!C:C,Sheet1!C:C))</f>
        <v>[match.xlsx]Sheet1!$C$348</v>
      </c>
      <c r="I148" t="str" cm="1">
        <f t="array" ref="I148:T148">_xlfn.XLOOKUP(A148,Sheet1!C:C,Sheet1!A:L)</f>
        <v>Medrano</v>
      </c>
      <c r="J148" t="str">
        <v>Maria</v>
      </c>
      <c r="K148">
        <v>54298</v>
      </c>
      <c r="L148" t="str">
        <v>951240705-SO CAL GAS</v>
      </c>
      <c r="M148">
        <v>2022</v>
      </c>
      <c r="N148" t="str">
        <v>Individual is enrolled in a COBRA or Retiree plan coverage that was not sent on a current post-enrollment reporting year import</v>
      </c>
      <c r="O148" t="str">
        <v xml:space="preserve"> </v>
      </c>
      <c r="P148" t="str">
        <v xml:space="preserve"> </v>
      </c>
      <c r="Q148" s="2">
        <v>44653</v>
      </c>
      <c r="R148" s="2" t="str">
        <v xml:space="preserve"> </v>
      </c>
      <c r="S148" t="str">
        <v>01/01/2019-12/31/9999</v>
      </c>
      <c r="T148" t="str">
        <v>Anthem California Care HMO</v>
      </c>
    </row>
    <row r="149" spans="1:20" x14ac:dyDescent="0.25">
      <c r="A149" s="3">
        <v>97598</v>
      </c>
      <c r="B149">
        <v>554949409</v>
      </c>
      <c r="C149" t="s">
        <v>998</v>
      </c>
      <c r="D149" t="s">
        <v>1077</v>
      </c>
      <c r="E149" t="s">
        <v>969</v>
      </c>
      <c r="F149" s="2">
        <v>44562</v>
      </c>
      <c r="H149" t="str" cm="1">
        <f t="array" aca="1" ref="H149" ca="1">CELL("address",_xlfn.XLOOKUP(A149,Sheet1!C:C,Sheet1!C:C))</f>
        <v>[match.xlsx]Sheet1!$C$268</v>
      </c>
      <c r="I149" t="str" cm="1">
        <f t="array" ref="I149:T149">_xlfn.XLOOKUP(A149,Sheet1!C:C,Sheet1!A:L)</f>
        <v>Koskie</v>
      </c>
      <c r="J149" t="str">
        <v>William</v>
      </c>
      <c r="K149">
        <v>97598</v>
      </c>
      <c r="L149" t="str">
        <v>951240705-SO CAL GAS</v>
      </c>
      <c r="M149">
        <v>2022</v>
      </c>
      <c r="N149" t="str">
        <v>Individual is enrolled in a COBRA or Retiree plan coverage that was not sent on a current post-enrollment reporting year import</v>
      </c>
      <c r="O149" t="str">
        <v xml:space="preserve"> </v>
      </c>
      <c r="P149" t="str">
        <v xml:space="preserve"> </v>
      </c>
      <c r="Q149" s="2">
        <v>44653</v>
      </c>
      <c r="R149" s="2" t="str">
        <v xml:space="preserve"> </v>
      </c>
      <c r="S149" t="str">
        <v>01/01/2019-12/31/9999</v>
      </c>
      <c r="T149" t="str">
        <v>Anthem California Care HMO</v>
      </c>
    </row>
    <row r="150" spans="1:20" x14ac:dyDescent="0.25">
      <c r="A150" s="3">
        <v>39312</v>
      </c>
      <c r="B150">
        <v>62504597</v>
      </c>
      <c r="C150" t="s">
        <v>934</v>
      </c>
      <c r="D150" t="s">
        <v>1078</v>
      </c>
      <c r="E150" t="s">
        <v>954</v>
      </c>
      <c r="F150" s="2">
        <v>43678</v>
      </c>
      <c r="H150" t="str" cm="1">
        <f t="array" aca="1" ref="H150" ca="1">CELL("address",_xlfn.XLOOKUP(A150,Sheet1!C:C,Sheet1!C:C))</f>
        <v>[match.xlsx]Sheet1!$C$226</v>
      </c>
      <c r="I150" t="str" cm="1">
        <f t="array" ref="I150:T150">_xlfn.XLOOKUP(A150,Sheet1!C:C,Sheet1!A:L)</f>
        <v>Hodnett</v>
      </c>
      <c r="J150" t="str">
        <v>Thomas</v>
      </c>
      <c r="K150">
        <v>39312</v>
      </c>
      <c r="L150" t="str">
        <v>330732627-SEMPRA ENERGY</v>
      </c>
      <c r="M150">
        <v>2022</v>
      </c>
      <c r="N150" t="str">
        <v>Individual is enrolled in a COBRA or Retiree plan coverage that was not sent on a current post-enrollment reporting year import</v>
      </c>
      <c r="O150" t="str">
        <v xml:space="preserve"> </v>
      </c>
      <c r="P150" t="str">
        <v xml:space="preserve"> </v>
      </c>
      <c r="Q150" s="2">
        <v>44653</v>
      </c>
      <c r="R150" s="2" t="str">
        <v xml:space="preserve"> </v>
      </c>
      <c r="S150" t="str">
        <v>01/01/2019-12/31/9999</v>
      </c>
      <c r="T150" t="str">
        <v>Anthem Health Care Plus+</v>
      </c>
    </row>
    <row r="151" spans="1:20" x14ac:dyDescent="0.25">
      <c r="A151" s="3">
        <v>35557</v>
      </c>
      <c r="B151">
        <v>549085821</v>
      </c>
      <c r="C151" t="s">
        <v>982</v>
      </c>
      <c r="D151" t="s">
        <v>1079</v>
      </c>
      <c r="E151" t="s">
        <v>969</v>
      </c>
      <c r="F151" s="2">
        <v>43770</v>
      </c>
      <c r="H151" t="str" cm="1">
        <f t="array" aca="1" ref="H151" ca="1">CELL("address",_xlfn.XLOOKUP(A151,Sheet1!C:C,Sheet1!C:C))</f>
        <v>[match.xlsx]Sheet1!$C$224</v>
      </c>
      <c r="I151" t="str" cm="1">
        <f t="array" ref="I151:T151">_xlfn.XLOOKUP(A151,Sheet1!C:C,Sheet1!A:L)</f>
        <v>Hobbs</v>
      </c>
      <c r="J151" t="str">
        <v>Richard</v>
      </c>
      <c r="K151">
        <v>35557</v>
      </c>
      <c r="L151" t="str">
        <v>951240705-SO CAL GAS</v>
      </c>
      <c r="M151">
        <v>2022</v>
      </c>
      <c r="N151" t="str">
        <v>Individual is enrolled in a COBRA or Retiree plan coverage that was not sent on a current post-enrollment reporting year import</v>
      </c>
      <c r="O151" t="str">
        <v xml:space="preserve"> </v>
      </c>
      <c r="P151" t="str">
        <v xml:space="preserve"> </v>
      </c>
      <c r="Q151" s="2">
        <v>44653</v>
      </c>
      <c r="R151" s="2" t="str">
        <v xml:space="preserve"> </v>
      </c>
      <c r="S151" t="str">
        <v>01/01/2019-12/31/9999</v>
      </c>
      <c r="T151" t="str">
        <v>Anthem Health Care Plus+</v>
      </c>
    </row>
    <row r="152" spans="1:20" x14ac:dyDescent="0.25">
      <c r="A152" s="3">
        <v>47452</v>
      </c>
      <c r="B152">
        <v>564311060</v>
      </c>
      <c r="C152" t="s">
        <v>941</v>
      </c>
      <c r="D152" t="s">
        <v>1080</v>
      </c>
      <c r="E152" t="s">
        <v>24</v>
      </c>
      <c r="F152" s="2">
        <v>43101</v>
      </c>
      <c r="H152" t="str" cm="1">
        <f t="array" aca="1" ref="H152" ca="1">CELL("address",_xlfn.XLOOKUP(A152,Sheet1!C:C,Sheet1!C:C))</f>
        <v>[match.xlsx]Sheet1!$C$512</v>
      </c>
      <c r="I152" t="str" cm="1">
        <f t="array" ref="I152:T152">_xlfn.XLOOKUP(A152,Sheet1!C:C,Sheet1!A:L)</f>
        <v>Spasaro</v>
      </c>
      <c r="J152" t="str">
        <v>Frank</v>
      </c>
      <c r="K152">
        <v>47452</v>
      </c>
      <c r="L152" t="str">
        <v>951240705-SO CAL GAS</v>
      </c>
      <c r="M152">
        <v>2022</v>
      </c>
      <c r="N152" t="str">
        <v>Individual is enrolled in a COBRA or Retiree plan coverage that was not sent on a current post-enrollment reporting year import</v>
      </c>
      <c r="O152" t="str">
        <v xml:space="preserve"> </v>
      </c>
      <c r="P152" t="str">
        <v xml:space="preserve"> </v>
      </c>
      <c r="Q152" s="2">
        <v>44653</v>
      </c>
      <c r="R152" s="2" t="str">
        <v xml:space="preserve"> </v>
      </c>
      <c r="S152" t="str">
        <v>01/01/2018-12/31/9999</v>
      </c>
      <c r="T152" t="str">
        <v>Anthem Health Care Plus+</v>
      </c>
    </row>
    <row r="153" spans="1:20" x14ac:dyDescent="0.25">
      <c r="A153" s="3">
        <v>53066</v>
      </c>
      <c r="B153">
        <v>571513438</v>
      </c>
      <c r="C153" t="s">
        <v>53</v>
      </c>
      <c r="D153" t="s">
        <v>880</v>
      </c>
      <c r="E153" t="s">
        <v>24</v>
      </c>
      <c r="F153" s="2">
        <v>43647</v>
      </c>
      <c r="H153" t="str" cm="1">
        <f t="array" aca="1" ref="H153" ca="1">CELL("address",_xlfn.XLOOKUP(A153,Sheet1!C:C,Sheet1!C:C))</f>
        <v>[match.xlsx]Sheet1!$C$562</v>
      </c>
      <c r="I153" t="str" cm="1">
        <f t="array" ref="I153:T153">_xlfn.XLOOKUP(A153,Sheet1!C:C,Sheet1!A:L)</f>
        <v>Wagner</v>
      </c>
      <c r="J153" t="str">
        <v>Patricia</v>
      </c>
      <c r="K153">
        <v>53066</v>
      </c>
      <c r="L153" t="str">
        <v>330732627-SEMPRA ENERGY</v>
      </c>
      <c r="M153">
        <v>2022</v>
      </c>
      <c r="N153" t="str">
        <v>Individual is enrolled in a COBRA or Retiree plan coverage that was not sent on a current post-enrollment reporting year import</v>
      </c>
      <c r="O153" t="str">
        <v xml:space="preserve"> </v>
      </c>
      <c r="P153" t="str">
        <v xml:space="preserve"> </v>
      </c>
      <c r="Q153" s="2">
        <v>44653</v>
      </c>
      <c r="R153" s="2" t="str">
        <v xml:space="preserve"> </v>
      </c>
      <c r="S153" t="str">
        <v>07/01/2019-12/31/9999</v>
      </c>
      <c r="T153" t="str">
        <v>Anthem Health Care Plus+</v>
      </c>
    </row>
    <row r="154" spans="1:20" x14ac:dyDescent="0.25">
      <c r="A154" s="3">
        <v>226</v>
      </c>
      <c r="B154">
        <v>287588389</v>
      </c>
      <c r="C154" t="s">
        <v>1081</v>
      </c>
      <c r="D154" t="s">
        <v>1082</v>
      </c>
      <c r="E154" t="s">
        <v>24</v>
      </c>
      <c r="F154" s="2">
        <v>43101</v>
      </c>
      <c r="H154" t="str" cm="1">
        <f t="array" aca="1" ref="H154" ca="1">CELL("address",_xlfn.XLOOKUP(A154,Sheet1!C:C,Sheet1!C:C))</f>
        <v>[match.xlsx]Sheet1!$C$4</v>
      </c>
      <c r="I154" t="str" cm="1">
        <f t="array" ref="I154:T154">_xlfn.XLOOKUP(A154,Sheet1!C:C,Sheet1!A:L)</f>
        <v>Abreu</v>
      </c>
      <c r="J154" t="str">
        <v>Alberto</v>
      </c>
      <c r="K154">
        <v>226</v>
      </c>
      <c r="L154" t="str">
        <v>453699851-SEMPRA INTERNATIONAL LLC</v>
      </c>
      <c r="M154">
        <v>2022</v>
      </c>
      <c r="N154" t="str">
        <v>Individual is enrolled in a COBRA or Retiree plan coverage that was not sent on a current post-enrollment reporting year import</v>
      </c>
      <c r="O154" t="str">
        <v xml:space="preserve"> </v>
      </c>
      <c r="P154" t="str">
        <v xml:space="preserve"> </v>
      </c>
      <c r="Q154" s="2">
        <v>44653</v>
      </c>
      <c r="R154" s="2" t="str">
        <v xml:space="preserve"> </v>
      </c>
      <c r="S154" t="str">
        <v>01/01/2018-12/31/9999</v>
      </c>
      <c r="T154" t="str">
        <v>Anthem Health Care Plus+</v>
      </c>
    </row>
    <row r="155" spans="1:20" x14ac:dyDescent="0.25">
      <c r="A155" s="3">
        <v>40297</v>
      </c>
      <c r="B155">
        <v>555179396</v>
      </c>
      <c r="C155" t="s">
        <v>56</v>
      </c>
      <c r="D155" t="s">
        <v>184</v>
      </c>
      <c r="E155" t="s">
        <v>31</v>
      </c>
      <c r="F155" s="2">
        <v>44044</v>
      </c>
      <c r="H155" t="str" cm="1">
        <f t="array" aca="1" ref="H155" ca="1">CELL("address",_xlfn.XLOOKUP(A155,Sheet1!C:C,Sheet1!C:C))</f>
        <v>[match.xlsx]Sheet1!$C$75</v>
      </c>
      <c r="I155" t="str" cm="1">
        <f t="array" ref="I155:T155">_xlfn.XLOOKUP(A155,Sheet1!C:C,Sheet1!A:L)</f>
        <v>Carlson</v>
      </c>
      <c r="J155" t="str">
        <v>Ronald</v>
      </c>
      <c r="K155">
        <v>40297</v>
      </c>
      <c r="L155" t="str">
        <v>951240705-SO CAL GAS</v>
      </c>
      <c r="M155">
        <v>2022</v>
      </c>
      <c r="N155" t="str">
        <v>Individual is enrolled in a COBRA or Retiree plan coverage that was not sent on a current post-enrollment reporting year import</v>
      </c>
      <c r="O155" t="str">
        <v xml:space="preserve"> </v>
      </c>
      <c r="P155" t="str">
        <v xml:space="preserve"> </v>
      </c>
      <c r="Q155" s="2">
        <v>44653</v>
      </c>
      <c r="R155" s="2" t="str">
        <v xml:space="preserve"> </v>
      </c>
      <c r="S155" t="str">
        <v>08/01/2020-12/31/9999</v>
      </c>
      <c r="T155" t="str">
        <v>Anthem California Care HMO</v>
      </c>
    </row>
    <row r="156" spans="1:20" x14ac:dyDescent="0.25">
      <c r="A156" s="3">
        <v>50650</v>
      </c>
      <c r="B156">
        <v>568372223</v>
      </c>
      <c r="C156" t="s">
        <v>295</v>
      </c>
      <c r="D156" t="s">
        <v>294</v>
      </c>
      <c r="E156" t="s">
        <v>24</v>
      </c>
      <c r="F156" s="2">
        <v>43497</v>
      </c>
      <c r="H156" t="str" cm="1">
        <f t="array" aca="1" ref="H156" ca="1">CELL("address",_xlfn.XLOOKUP(A156,Sheet1!C:C,Sheet1!C:C))</f>
        <v>[match.xlsx]Sheet1!$C$134</v>
      </c>
      <c r="I156" t="str" cm="1">
        <f t="array" ref="I156:T156">_xlfn.XLOOKUP(A156,Sheet1!C:C,Sheet1!A:L)</f>
        <v>Enstad</v>
      </c>
      <c r="J156" t="str">
        <v>Aaron</v>
      </c>
      <c r="K156">
        <v>50650</v>
      </c>
      <c r="L156" t="str">
        <v>951240705-SO CAL GAS</v>
      </c>
      <c r="M156">
        <v>2022</v>
      </c>
      <c r="N156" t="str">
        <v>Individual is enrolled in a COBRA or Retiree plan coverage that was not sent on a current post-enrollment reporting year import</v>
      </c>
      <c r="O156" t="str">
        <v xml:space="preserve"> </v>
      </c>
      <c r="P156" t="str">
        <v xml:space="preserve"> </v>
      </c>
      <c r="Q156" s="2">
        <v>44653</v>
      </c>
      <c r="R156" s="2" t="str">
        <v xml:space="preserve"> </v>
      </c>
      <c r="S156" t="str">
        <v>02/01/2019-12/31/9999</v>
      </c>
      <c r="T156" t="str">
        <v>Anthem Health Care Plus+</v>
      </c>
    </row>
    <row r="157" spans="1:20" x14ac:dyDescent="0.25">
      <c r="A157" s="3">
        <v>49065</v>
      </c>
      <c r="B157">
        <v>283428977</v>
      </c>
      <c r="C157" t="s">
        <v>88</v>
      </c>
      <c r="D157" t="s">
        <v>521</v>
      </c>
      <c r="E157" t="s">
        <v>24</v>
      </c>
      <c r="F157" s="2">
        <v>43160</v>
      </c>
      <c r="H157" t="str" cm="1">
        <f t="array" aca="1" ref="H157" ca="1">CELL("address",_xlfn.XLOOKUP(A157,Sheet1!C:C,Sheet1!C:C))</f>
        <v>[match.xlsx]Sheet1!$C$280</v>
      </c>
      <c r="I157" t="str" cm="1">
        <f t="array" ref="I157:T157">_xlfn.XLOOKUP(A157,Sheet1!C:C,Sheet1!A:L)</f>
        <v>Lane</v>
      </c>
      <c r="J157" t="str">
        <v>William</v>
      </c>
      <c r="K157">
        <v>49065</v>
      </c>
      <c r="L157" t="str">
        <v>951184800-SAN DIEGO GAS &amp; ELECTRIC</v>
      </c>
      <c r="M157">
        <v>2022</v>
      </c>
      <c r="N157" t="str">
        <v>Individual is enrolled in a COBRA or Retiree plan coverage that was not sent on a current post-enrollment reporting year import</v>
      </c>
      <c r="O157" t="str">
        <v xml:space="preserve"> </v>
      </c>
      <c r="P157" t="str">
        <v xml:space="preserve"> </v>
      </c>
      <c r="Q157" s="2">
        <v>44653</v>
      </c>
      <c r="R157" s="2" t="str">
        <v xml:space="preserve"> </v>
      </c>
      <c r="S157" t="str">
        <v>03/01/2018-12/31/9999</v>
      </c>
      <c r="T157" t="str">
        <v>Anthem Health Care Plus+</v>
      </c>
    </row>
    <row r="158" spans="1:20" x14ac:dyDescent="0.25">
      <c r="A158" s="3">
        <v>97891</v>
      </c>
      <c r="B158">
        <v>551197594</v>
      </c>
      <c r="C158" t="s">
        <v>198</v>
      </c>
      <c r="D158" t="s">
        <v>774</v>
      </c>
      <c r="E158" t="s">
        <v>1070</v>
      </c>
      <c r="F158" s="2">
        <v>43191</v>
      </c>
      <c r="H158" t="str" cm="1">
        <f t="array" aca="1" ref="H158" ca="1">CELL("address",_xlfn.XLOOKUP(A158,Sheet1!C:C,Sheet1!C:C))</f>
        <v>[match.xlsx]Sheet1!$C$477</v>
      </c>
      <c r="I158" t="str" cm="1">
        <f t="array" ref="I158:T158">_xlfn.XLOOKUP(A158,Sheet1!C:C,Sheet1!A:L)</f>
        <v>Schiller</v>
      </c>
      <c r="J158" t="str">
        <v>David</v>
      </c>
      <c r="K158">
        <v>97891</v>
      </c>
      <c r="L158" t="str">
        <v>951240705-SO CAL GAS</v>
      </c>
      <c r="M158">
        <v>2022</v>
      </c>
      <c r="N158" t="str">
        <v>Individual is enrolled in a COBRA or Retiree plan coverage that was not sent on a current post-enrollment reporting year import</v>
      </c>
      <c r="O158" t="str">
        <v xml:space="preserve"> </v>
      </c>
      <c r="P158" t="str">
        <v xml:space="preserve"> </v>
      </c>
      <c r="Q158" s="2">
        <v>44653</v>
      </c>
      <c r="R158" s="2" t="str">
        <v xml:space="preserve"> </v>
      </c>
      <c r="S158" t="str">
        <v>04/01/2018-12/31/9999</v>
      </c>
      <c r="T158" t="str">
        <v>Anthem Select HMO</v>
      </c>
    </row>
    <row r="159" spans="1:20" x14ac:dyDescent="0.25">
      <c r="A159" s="3">
        <v>34660</v>
      </c>
      <c r="B159">
        <v>548084937</v>
      </c>
      <c r="C159" t="s">
        <v>317</v>
      </c>
      <c r="D159" t="s">
        <v>315</v>
      </c>
      <c r="E159" t="s">
        <v>31</v>
      </c>
      <c r="F159" s="2">
        <v>44044</v>
      </c>
      <c r="H159" t="str" cm="1">
        <f t="array" aca="1" ref="H159" ca="1">CELL("address",_xlfn.XLOOKUP(A159,Sheet1!C:C,Sheet1!C:C))</f>
        <v>[match.xlsx]Sheet1!$C$147</v>
      </c>
      <c r="I159" t="str" cm="1">
        <f t="array" ref="I159:T159">_xlfn.XLOOKUP(A159,Sheet1!C:C,Sheet1!A:L)</f>
        <v>Figueroa</v>
      </c>
      <c r="J159" t="str">
        <v>Vicki</v>
      </c>
      <c r="K159">
        <v>34660</v>
      </c>
      <c r="L159" t="str">
        <v>951240705-SO CAL GAS</v>
      </c>
      <c r="M159">
        <v>2022</v>
      </c>
      <c r="N159" t="str">
        <v>Individual is enrolled in a COBRA or Retiree plan coverage that was not sent on a current post-enrollment reporting year import</v>
      </c>
      <c r="O159" t="str">
        <v xml:space="preserve"> </v>
      </c>
      <c r="P159" t="str">
        <v xml:space="preserve"> </v>
      </c>
      <c r="Q159" s="2">
        <v>44653</v>
      </c>
      <c r="R159" s="2" t="str">
        <v xml:space="preserve"> </v>
      </c>
      <c r="S159" t="str">
        <v>08/01/2020-12/31/9999</v>
      </c>
      <c r="T159" t="str">
        <v>Anthem California Care HMO</v>
      </c>
    </row>
    <row r="160" spans="1:20" x14ac:dyDescent="0.25">
      <c r="A160" s="3">
        <v>40279</v>
      </c>
      <c r="B160">
        <v>555175631</v>
      </c>
      <c r="C160" t="s">
        <v>976</v>
      </c>
      <c r="D160" t="s">
        <v>1083</v>
      </c>
      <c r="E160" t="s">
        <v>31</v>
      </c>
      <c r="F160" s="2">
        <v>43101</v>
      </c>
      <c r="H160" t="str" cm="1">
        <f t="array" aca="1" ref="H160" ca="1">CELL("address",_xlfn.XLOOKUP(A160,Sheet1!C:C,Sheet1!C:C))</f>
        <v>[match.xlsx]Sheet1!$C$596</v>
      </c>
      <c r="I160" t="str" cm="1">
        <f t="array" ref="I160:T160">_xlfn.XLOOKUP(A160,Sheet1!C:C,Sheet1!A:L)</f>
        <v>Zamora</v>
      </c>
      <c r="J160" t="str">
        <v>Sandra</v>
      </c>
      <c r="K160">
        <v>40279</v>
      </c>
      <c r="L160" t="str">
        <v>951240705-SO CAL GAS</v>
      </c>
      <c r="M160">
        <v>2022</v>
      </c>
      <c r="N160" t="str">
        <v>Individual is enrolled in a COBRA or Retiree plan coverage that was not sent on a current post-enrollment reporting year import</v>
      </c>
      <c r="O160" t="str">
        <v xml:space="preserve"> </v>
      </c>
      <c r="P160" t="str">
        <v xml:space="preserve"> </v>
      </c>
      <c r="Q160" s="2">
        <v>44653</v>
      </c>
      <c r="R160" s="2" t="str">
        <v xml:space="preserve"> </v>
      </c>
      <c r="S160" t="str">
        <v>01/01/2018-12/31/9999</v>
      </c>
      <c r="T160" t="str">
        <v>Anthem California Care HMO</v>
      </c>
    </row>
    <row r="161" spans="1:20" x14ac:dyDescent="0.25">
      <c r="A161" s="3">
        <v>22368</v>
      </c>
      <c r="B161">
        <v>546333166</v>
      </c>
      <c r="C161" t="s">
        <v>1084</v>
      </c>
      <c r="D161" t="s">
        <v>1085</v>
      </c>
      <c r="E161" t="s">
        <v>71</v>
      </c>
      <c r="F161" s="2">
        <v>43344</v>
      </c>
      <c r="H161" t="str" cm="1">
        <f t="array" aca="1" ref="H161" ca="1">CELL("address",_xlfn.XLOOKUP(A161,Sheet1!C:C,Sheet1!C:C))</f>
        <v>[match.xlsx]Sheet1!$C$442</v>
      </c>
      <c r="I161" t="str" cm="1">
        <f t="array" ref="I161:T161">_xlfn.XLOOKUP(A161,Sheet1!C:C,Sheet1!A:L)</f>
        <v>Roberge</v>
      </c>
      <c r="J161" t="str">
        <v>Mark</v>
      </c>
      <c r="K161">
        <v>22368</v>
      </c>
      <c r="L161" t="str">
        <v>330732627-SEMPRA ENERGY</v>
      </c>
      <c r="M161">
        <v>2022</v>
      </c>
      <c r="N161" t="str">
        <v>Individual is enrolled in a COBRA or Retiree plan coverage that was not sent on a current post-enrollment reporting year import</v>
      </c>
      <c r="O161" t="str">
        <v xml:space="preserve"> </v>
      </c>
      <c r="P161" t="str">
        <v xml:space="preserve"> </v>
      </c>
      <c r="Q161" s="2">
        <v>44653</v>
      </c>
      <c r="R161" s="2" t="str">
        <v xml:space="preserve"> </v>
      </c>
      <c r="S161" t="str">
        <v>09/01/2018-12/31/9999</v>
      </c>
      <c r="T161" t="str">
        <v>Anthem Select HMO</v>
      </c>
    </row>
    <row r="162" spans="1:20" x14ac:dyDescent="0.25">
      <c r="A162" s="3">
        <v>42529</v>
      </c>
      <c r="B162">
        <v>558239472</v>
      </c>
      <c r="C162" t="s">
        <v>1086</v>
      </c>
      <c r="D162" t="s">
        <v>1087</v>
      </c>
      <c r="E162" t="s">
        <v>24</v>
      </c>
      <c r="F162" s="2">
        <v>43132</v>
      </c>
      <c r="H162" t="str" cm="1">
        <f t="array" aca="1" ref="H162" ca="1">CELL("address",_xlfn.XLOOKUP(A162,Sheet1!C:C,Sheet1!C:C))</f>
        <v>[match.xlsx]Sheet1!$C$313</v>
      </c>
      <c r="I162" t="str" cm="1">
        <f t="array" ref="I162:T162">_xlfn.XLOOKUP(A162,Sheet1!C:C,Sheet1!A:L)</f>
        <v>Louie</v>
      </c>
      <c r="J162" t="str">
        <v>Hoymond</v>
      </c>
      <c r="K162">
        <v>42529</v>
      </c>
      <c r="L162" t="str">
        <v>951240705-SO CAL GAS</v>
      </c>
      <c r="M162">
        <v>2022</v>
      </c>
      <c r="N162" t="str">
        <v>Individual is enrolled in a COBRA or Retiree plan coverage that was not sent on a current post-enrollment reporting year import</v>
      </c>
      <c r="O162" t="str">
        <v xml:space="preserve"> </v>
      </c>
      <c r="P162" t="str">
        <v xml:space="preserve"> </v>
      </c>
      <c r="Q162" s="2">
        <v>44653</v>
      </c>
      <c r="R162" s="2" t="str">
        <v xml:space="preserve"> </v>
      </c>
      <c r="S162" t="str">
        <v>02/01/2018-12/31/9999</v>
      </c>
      <c r="T162" t="str">
        <v>Anthem Health Care Plus+</v>
      </c>
    </row>
    <row r="163" spans="1:20" x14ac:dyDescent="0.25">
      <c r="A163" s="3">
        <v>16947</v>
      </c>
      <c r="B163">
        <v>567135714</v>
      </c>
      <c r="C163" t="s">
        <v>1084</v>
      </c>
      <c r="D163" t="s">
        <v>1088</v>
      </c>
      <c r="E163" t="s">
        <v>969</v>
      </c>
      <c r="F163" s="2">
        <v>44409</v>
      </c>
      <c r="H163" t="str" cm="1">
        <f t="array" aca="1" ref="H163" ca="1">CELL("address",_xlfn.XLOOKUP(A163,Sheet1!C:C,Sheet1!C:C))</f>
        <v>[match.xlsx]Sheet1!$C$504</v>
      </c>
      <c r="I163" t="str" cm="1">
        <f t="array" ref="I163:T163">_xlfn.XLOOKUP(A163,Sheet1!C:C,Sheet1!A:L)</f>
        <v>Snell</v>
      </c>
      <c r="J163" t="str">
        <v>Mark</v>
      </c>
      <c r="K163">
        <v>16947</v>
      </c>
      <c r="L163" t="str">
        <v>330732627-SEMPRA ENERGY</v>
      </c>
      <c r="M163">
        <v>2022</v>
      </c>
      <c r="N163" t="str">
        <v>Individual is enrolled in a COBRA or Retiree plan coverage that was not sent on a current post-enrollment reporting year import</v>
      </c>
      <c r="O163" t="str">
        <v xml:space="preserve"> </v>
      </c>
      <c r="P163" t="str">
        <v xml:space="preserve"> </v>
      </c>
      <c r="Q163" s="2">
        <v>44653</v>
      </c>
      <c r="R163" s="2" t="str">
        <v xml:space="preserve"> </v>
      </c>
      <c r="S163" t="str">
        <v>08/01/2019-12/31/9999</v>
      </c>
      <c r="T163" t="str">
        <v>Anthem Health Care Plus+</v>
      </c>
    </row>
    <row r="164" spans="1:20" x14ac:dyDescent="0.25">
      <c r="A164" s="3">
        <v>75035</v>
      </c>
      <c r="B164">
        <v>527714222</v>
      </c>
      <c r="C164" t="s">
        <v>489</v>
      </c>
      <c r="D164" t="s">
        <v>763</v>
      </c>
      <c r="E164" t="s">
        <v>71</v>
      </c>
      <c r="F164" s="2">
        <v>43405</v>
      </c>
      <c r="H164" t="str" cm="1">
        <f t="array" aca="1" ref="H164" ca="1">CELL("address",_xlfn.XLOOKUP(A164,Sheet1!C:C,Sheet1!C:C))</f>
        <v>[match.xlsx]Sheet1!$C$465</v>
      </c>
      <c r="I164" t="str" cm="1">
        <f t="array" ref="I164:T164">_xlfn.XLOOKUP(A164,Sheet1!C:C,Sheet1!A:L)</f>
        <v>Saelens</v>
      </c>
      <c r="J164" t="str">
        <v>Kathleen</v>
      </c>
      <c r="K164">
        <v>75035</v>
      </c>
      <c r="L164" t="str">
        <v>951184800-SAN DIEGO GAS &amp; ELECTRIC</v>
      </c>
      <c r="M164">
        <v>2022</v>
      </c>
      <c r="N164" t="str">
        <v>Individual is enrolled in a COBRA or Retiree plan coverage that was not sent on a current post-enrollment reporting year import</v>
      </c>
      <c r="O164" t="str">
        <v xml:space="preserve"> </v>
      </c>
      <c r="P164" t="str">
        <v xml:space="preserve"> </v>
      </c>
      <c r="Q164" s="2">
        <v>44653</v>
      </c>
      <c r="R164" s="2" t="str">
        <v xml:space="preserve"> </v>
      </c>
      <c r="S164" t="str">
        <v>11/01/2018-12/31/9999</v>
      </c>
      <c r="T164" t="str">
        <v>Anthem Select HMO</v>
      </c>
    </row>
    <row r="165" spans="1:20" x14ac:dyDescent="0.25">
      <c r="A165" s="3">
        <v>97223</v>
      </c>
      <c r="B165">
        <v>59506662</v>
      </c>
      <c r="C165" t="s">
        <v>1089</v>
      </c>
      <c r="D165" t="s">
        <v>1090</v>
      </c>
      <c r="E165" t="s">
        <v>71</v>
      </c>
      <c r="F165" s="2">
        <v>43466</v>
      </c>
      <c r="H165" t="str" cm="1">
        <f t="array" aca="1" ref="H165" ca="1">CELL("address",_xlfn.XLOOKUP(A165,Sheet1!C:C,Sheet1!C:C))</f>
        <v>[match.xlsx]Sheet1!$C$132</v>
      </c>
      <c r="I165" t="str" cm="1">
        <f t="array" ref="I165:T165">_xlfn.XLOOKUP(A165,Sheet1!C:C,Sheet1!A:L)</f>
        <v>Ellis</v>
      </c>
      <c r="J165" t="str">
        <v>Bruce</v>
      </c>
      <c r="K165">
        <v>97223</v>
      </c>
      <c r="L165" t="str">
        <v>453715016-SEMPRA INFRASTRUCTURE LLC</v>
      </c>
      <c r="M165">
        <v>2022</v>
      </c>
      <c r="N165" t="str">
        <v>Individual is enrolled in a COBRA or Retiree plan coverage that was not sent on a current post-enrollment reporting year import</v>
      </c>
      <c r="O165" t="str">
        <v xml:space="preserve"> </v>
      </c>
      <c r="P165" t="str">
        <v xml:space="preserve"> </v>
      </c>
      <c r="Q165" s="2">
        <v>44653</v>
      </c>
      <c r="R165" s="2" t="str">
        <v xml:space="preserve"> </v>
      </c>
      <c r="S165" t="str">
        <v>01/01/2019-12/31/9999</v>
      </c>
      <c r="T165" t="str">
        <v>Anthem Select HMO</v>
      </c>
    </row>
    <row r="166" spans="1:20" x14ac:dyDescent="0.25">
      <c r="A166" s="3">
        <v>50364</v>
      </c>
      <c r="B166">
        <v>568089588</v>
      </c>
      <c r="C166" t="s">
        <v>236</v>
      </c>
      <c r="D166" t="s">
        <v>235</v>
      </c>
      <c r="E166" t="s">
        <v>24</v>
      </c>
      <c r="F166" s="2">
        <v>43678</v>
      </c>
      <c r="H166" t="str" cm="1">
        <f t="array" aca="1" ref="H166" ca="1">CELL("address",_xlfn.XLOOKUP(A166,Sheet1!C:C,Sheet1!C:C))</f>
        <v>[match.xlsx]Sheet1!$C$101</v>
      </c>
      <c r="I166" t="str" cm="1">
        <f t="array" ref="I166:T166">_xlfn.XLOOKUP(A166,Sheet1!C:C,Sheet1!A:L)</f>
        <v>Cuevas</v>
      </c>
      <c r="J166" t="str">
        <v>Carlos</v>
      </c>
      <c r="K166">
        <v>50364</v>
      </c>
      <c r="L166" t="str">
        <v>951240705-SO CAL GAS</v>
      </c>
      <c r="M166">
        <v>2022</v>
      </c>
      <c r="N166" t="str">
        <v>Individual is enrolled in a COBRA or Retiree plan coverage that was not sent on a current post-enrollment reporting year import</v>
      </c>
      <c r="O166" t="str">
        <v xml:space="preserve"> </v>
      </c>
      <c r="P166" t="str">
        <v xml:space="preserve"> </v>
      </c>
      <c r="Q166" s="2">
        <v>44653</v>
      </c>
      <c r="R166" s="2" t="str">
        <v xml:space="preserve"> </v>
      </c>
      <c r="S166" t="str">
        <v>08/01/2019-12/31/9999</v>
      </c>
      <c r="T166" t="str">
        <v>Anthem Health Care Plus+</v>
      </c>
    </row>
    <row r="167" spans="1:20" x14ac:dyDescent="0.25">
      <c r="A167" s="3">
        <v>36371</v>
      </c>
      <c r="B167">
        <v>585944321</v>
      </c>
      <c r="C167" t="s">
        <v>420</v>
      </c>
      <c r="D167" t="s">
        <v>419</v>
      </c>
      <c r="E167" t="s">
        <v>71</v>
      </c>
      <c r="F167" s="2">
        <v>44013</v>
      </c>
      <c r="H167" t="str" cm="1">
        <f t="array" aca="1" ref="H167" ca="1">CELL("address",_xlfn.XLOOKUP(A167,Sheet1!C:C,Sheet1!C:C))</f>
        <v>[match.xlsx]Sheet1!$C$208</v>
      </c>
      <c r="I167" t="str" cm="1">
        <f t="array" ref="I167:T167">_xlfn.XLOOKUP(A167,Sheet1!C:C,Sheet1!A:L)</f>
        <v>Harviston</v>
      </c>
      <c r="J167" t="str">
        <v>Corby</v>
      </c>
      <c r="K167">
        <v>36371</v>
      </c>
      <c r="L167" t="str">
        <v>951184800-SAN DIEGO GAS &amp; ELECTRIC</v>
      </c>
      <c r="M167">
        <v>2022</v>
      </c>
      <c r="N167" t="str">
        <v>Individual is enrolled in a COBRA or Retiree plan coverage that was not sent on a current post-enrollment reporting year import</v>
      </c>
      <c r="O167" t="str">
        <v xml:space="preserve"> </v>
      </c>
      <c r="P167" t="str">
        <v xml:space="preserve"> </v>
      </c>
      <c r="Q167" s="2">
        <v>44653</v>
      </c>
      <c r="R167" s="2" t="str">
        <v xml:space="preserve"> </v>
      </c>
      <c r="S167" t="str">
        <v>07/01/2020-12/31/9999</v>
      </c>
      <c r="T167" t="str">
        <v>Anthem Select HMO</v>
      </c>
    </row>
    <row r="168" spans="1:20" x14ac:dyDescent="0.25">
      <c r="A168" s="3">
        <v>33772</v>
      </c>
      <c r="B168">
        <v>546927111</v>
      </c>
      <c r="C168" t="s">
        <v>1063</v>
      </c>
      <c r="D168" t="s">
        <v>1091</v>
      </c>
      <c r="E168" t="s">
        <v>969</v>
      </c>
      <c r="F168" s="2">
        <v>44013</v>
      </c>
      <c r="H168" t="str" cm="1">
        <f t="array" aca="1" ref="H168" ca="1">CELL("address",_xlfn.XLOOKUP(A168,Sheet1!C:C,Sheet1!C:C))</f>
        <v>[match.xlsx]Sheet1!$C$489</v>
      </c>
      <c r="I168" t="str" cm="1">
        <f t="array" ref="I168:T168">_xlfn.XLOOKUP(A168,Sheet1!C:C,Sheet1!A:L)</f>
        <v>Shea</v>
      </c>
      <c r="J168" t="str">
        <v>Daniel</v>
      </c>
      <c r="K168">
        <v>33772</v>
      </c>
      <c r="L168" t="str">
        <v>951240705-SO CAL GAS</v>
      </c>
      <c r="M168">
        <v>2022</v>
      </c>
      <c r="N168" t="str">
        <v>Individual is enrolled in a COBRA or Retiree plan coverage that was not sent on a current post-enrollment reporting year import</v>
      </c>
      <c r="O168" t="str">
        <v xml:space="preserve"> </v>
      </c>
      <c r="P168" t="str">
        <v xml:space="preserve"> </v>
      </c>
      <c r="Q168" s="2">
        <v>44653</v>
      </c>
      <c r="R168" s="2" t="str">
        <v xml:space="preserve"> </v>
      </c>
      <c r="S168" t="str">
        <v>01/01/2019-12/31/9999</v>
      </c>
      <c r="T168" t="str">
        <v>Anthem Health Care Plus+</v>
      </c>
    </row>
    <row r="169" spans="1:20" x14ac:dyDescent="0.25">
      <c r="A169" s="3">
        <v>51307</v>
      </c>
      <c r="B169">
        <v>546354525</v>
      </c>
      <c r="C169" t="s">
        <v>1092</v>
      </c>
      <c r="D169" t="s">
        <v>1093</v>
      </c>
      <c r="E169" t="s">
        <v>71</v>
      </c>
      <c r="F169" s="2">
        <v>43466</v>
      </c>
      <c r="H169" t="str" cm="1">
        <f t="array" aca="1" ref="H169" ca="1">CELL("address",_xlfn.XLOOKUP(A169,Sheet1!C:C,Sheet1!C:C))</f>
        <v>[match.xlsx]Sheet1!$C$304</v>
      </c>
      <c r="I169" t="str" cm="1">
        <f t="array" ref="I169:T169">_xlfn.XLOOKUP(A169,Sheet1!C:C,Sheet1!A:L)</f>
        <v>Littlefield</v>
      </c>
      <c r="J169" t="str">
        <v>Randall</v>
      </c>
      <c r="K169">
        <v>51307</v>
      </c>
      <c r="L169" t="str">
        <v>951184800-SAN DIEGO GAS &amp; ELECTRIC</v>
      </c>
      <c r="M169">
        <v>2022</v>
      </c>
      <c r="N169" t="str">
        <v>Individual is enrolled in a COBRA or Retiree plan coverage that was not sent on a current post-enrollment reporting year import</v>
      </c>
      <c r="O169" t="str">
        <v xml:space="preserve"> </v>
      </c>
      <c r="P169" t="str">
        <v xml:space="preserve"> </v>
      </c>
      <c r="Q169" s="2">
        <v>44653</v>
      </c>
      <c r="R169" s="2" t="str">
        <v xml:space="preserve"> </v>
      </c>
      <c r="S169" t="str">
        <v>01/01/2019-12/31/9999</v>
      </c>
      <c r="T169" t="str">
        <v>Anthem Select HMO</v>
      </c>
    </row>
    <row r="170" spans="1:20" x14ac:dyDescent="0.25">
      <c r="A170" s="3">
        <v>39216</v>
      </c>
      <c r="B170">
        <v>553945195</v>
      </c>
      <c r="C170" t="s">
        <v>970</v>
      </c>
      <c r="D170" t="s">
        <v>1094</v>
      </c>
      <c r="E170" t="s">
        <v>969</v>
      </c>
      <c r="F170" s="2">
        <v>44197</v>
      </c>
      <c r="H170" t="str" cm="1">
        <f t="array" aca="1" ref="H170" ca="1">CELL("address",_xlfn.XLOOKUP(A170,Sheet1!C:C,Sheet1!C:C))</f>
        <v>[match.xlsx]Sheet1!$C$187</v>
      </c>
      <c r="I170" t="str" cm="1">
        <f t="array" ref="I170:T170">_xlfn.XLOOKUP(A170,Sheet1!C:C,Sheet1!A:L)</f>
        <v>Grefsrud</v>
      </c>
      <c r="J170" t="str">
        <v>Leo</v>
      </c>
      <c r="K170">
        <v>39216</v>
      </c>
      <c r="L170" t="str">
        <v>951240705-SO CAL GAS</v>
      </c>
      <c r="M170">
        <v>2022</v>
      </c>
      <c r="N170" t="str">
        <v>Individual is enrolled in a COBRA or Retiree plan coverage that was not sent on a current post-enrollment reporting year import</v>
      </c>
      <c r="O170" t="str">
        <v xml:space="preserve"> </v>
      </c>
      <c r="P170" t="str">
        <v xml:space="preserve"> </v>
      </c>
      <c r="Q170" s="2">
        <v>44653</v>
      </c>
      <c r="R170" s="2" t="str">
        <v xml:space="preserve"> </v>
      </c>
      <c r="S170" t="str">
        <v>01/01/2018-12/31/9999</v>
      </c>
      <c r="T170" t="str">
        <v>Anthem Select HMO</v>
      </c>
    </row>
    <row r="171" spans="1:20" x14ac:dyDescent="0.25">
      <c r="A171" s="3">
        <v>20358</v>
      </c>
      <c r="B171">
        <v>551510595</v>
      </c>
      <c r="C171" t="s">
        <v>1095</v>
      </c>
      <c r="D171" t="s">
        <v>1096</v>
      </c>
      <c r="E171" t="s">
        <v>24</v>
      </c>
      <c r="F171" s="2">
        <v>43101</v>
      </c>
      <c r="H171" t="str" cm="1">
        <f t="array" aca="1" ref="H171" ca="1">CELL("address",_xlfn.XLOOKUP(A171,Sheet1!C:C,Sheet1!C:C))</f>
        <v>[match.xlsx]Sheet1!$C$100</v>
      </c>
      <c r="I171" t="str" cm="1">
        <f t="array" ref="I171:T171">_xlfn.XLOOKUP(A171,Sheet1!C:C,Sheet1!A:L)</f>
        <v>Crockett</v>
      </c>
      <c r="J171" t="str">
        <v>Susan</v>
      </c>
      <c r="K171">
        <v>20358</v>
      </c>
      <c r="L171" t="str">
        <v>951184800-SAN DIEGO GAS &amp; ELECTRIC</v>
      </c>
      <c r="M171">
        <v>2022</v>
      </c>
      <c r="N171" t="str">
        <v>Individual is enrolled in a COBRA or Retiree plan coverage that was not sent on a current post-enrollment reporting year import</v>
      </c>
      <c r="O171" t="str">
        <v xml:space="preserve"> </v>
      </c>
      <c r="P171" t="str">
        <v xml:space="preserve"> </v>
      </c>
      <c r="Q171" s="2">
        <v>44653</v>
      </c>
      <c r="R171" s="2" t="str">
        <v xml:space="preserve"> </v>
      </c>
      <c r="S171" t="str">
        <v>01/01/2018-12/31/9999</v>
      </c>
      <c r="T171" t="str">
        <v>Anthem Health Care Plus+</v>
      </c>
    </row>
    <row r="172" spans="1:20" x14ac:dyDescent="0.25">
      <c r="A172" s="3">
        <v>36219</v>
      </c>
      <c r="B172">
        <v>550048185</v>
      </c>
      <c r="C172" t="s">
        <v>1097</v>
      </c>
      <c r="D172" t="s">
        <v>1098</v>
      </c>
      <c r="E172" t="s">
        <v>24</v>
      </c>
      <c r="F172" s="2">
        <v>43344</v>
      </c>
      <c r="H172" t="str" cm="1">
        <f t="array" aca="1" ref="H172" ca="1">CELL("address",_xlfn.XLOOKUP(A172,Sheet1!C:C,Sheet1!C:C))</f>
        <v>[match.xlsx]Sheet1!$C$490</v>
      </c>
      <c r="I172" t="str" cm="1">
        <f t="array" ref="I172:T172">_xlfn.XLOOKUP(A172,Sheet1!C:C,Sheet1!A:L)</f>
        <v>Shepherd</v>
      </c>
      <c r="J172" t="str">
        <v>Cheryl</v>
      </c>
      <c r="K172">
        <v>36219</v>
      </c>
      <c r="L172" t="str">
        <v>951240705-SO CAL GAS</v>
      </c>
      <c r="M172">
        <v>2022</v>
      </c>
      <c r="N172" t="str">
        <v>Individual is enrolled in a COBRA or Retiree plan coverage that was not sent on a current post-enrollment reporting year import</v>
      </c>
      <c r="O172" t="str">
        <v xml:space="preserve"> </v>
      </c>
      <c r="P172" t="str">
        <v xml:space="preserve"> </v>
      </c>
      <c r="Q172" s="2">
        <v>44653</v>
      </c>
      <c r="R172" s="2" t="str">
        <v xml:space="preserve"> </v>
      </c>
      <c r="S172" t="str">
        <v>09/01/2018-12/31/9999</v>
      </c>
      <c r="T172" t="str">
        <v>Anthem Health Care Plus+</v>
      </c>
    </row>
    <row r="173" spans="1:20" x14ac:dyDescent="0.25">
      <c r="A173" s="3">
        <v>64608</v>
      </c>
      <c r="B173">
        <v>568370964</v>
      </c>
      <c r="C173" t="s">
        <v>1099</v>
      </c>
      <c r="D173" t="s">
        <v>1100</v>
      </c>
      <c r="E173" t="s">
        <v>1070</v>
      </c>
      <c r="F173" s="2">
        <v>43405</v>
      </c>
      <c r="H173" t="str" cm="1">
        <f t="array" aca="1" ref="H173" ca="1">CELL("address",_xlfn.XLOOKUP(A173,Sheet1!C:C,Sheet1!C:C))</f>
        <v>[match.xlsx]Sheet1!$C$405</v>
      </c>
      <c r="I173" t="str" cm="1">
        <f t="array" ref="I173:T173">_xlfn.XLOOKUP(A173,Sheet1!C:C,Sheet1!A:L)</f>
        <v>Padgett</v>
      </c>
      <c r="J173" t="str">
        <v>Ernest</v>
      </c>
      <c r="K173">
        <v>64608</v>
      </c>
      <c r="L173" t="str">
        <v>951184800-SAN DIEGO GAS &amp; ELECTRIC</v>
      </c>
      <c r="M173">
        <v>2022</v>
      </c>
      <c r="N173" t="str">
        <v>Individual is enrolled in a COBRA or Retiree plan coverage that was not sent on a current post-enrollment reporting year import</v>
      </c>
      <c r="O173" t="str">
        <v xml:space="preserve"> </v>
      </c>
      <c r="P173" t="str">
        <v xml:space="preserve"> </v>
      </c>
      <c r="Q173" s="2">
        <v>44653</v>
      </c>
      <c r="R173" s="2" t="str">
        <v xml:space="preserve"> </v>
      </c>
      <c r="S173" t="str">
        <v>01/01/2019-12/31/9999</v>
      </c>
      <c r="T173" t="str">
        <v>Anthem Select HMO</v>
      </c>
    </row>
    <row r="174" spans="1:20" x14ac:dyDescent="0.25">
      <c r="A174" s="3">
        <v>8658</v>
      </c>
      <c r="B174">
        <v>585022833</v>
      </c>
      <c r="C174" t="s">
        <v>74</v>
      </c>
      <c r="D174" t="s">
        <v>552</v>
      </c>
      <c r="E174" t="s">
        <v>24</v>
      </c>
      <c r="F174" s="2">
        <v>43132</v>
      </c>
      <c r="H174" t="str" cm="1">
        <f t="array" aca="1" ref="H174" ca="1">CELL("address",_xlfn.XLOOKUP(A174,Sheet1!C:C,Sheet1!C:C))</f>
        <v>[match.xlsx]Sheet1!$C$302</v>
      </c>
      <c r="I174" t="str" cm="1">
        <f t="array" ref="I174:T174">_xlfn.XLOOKUP(A174,Sheet1!C:C,Sheet1!A:L)</f>
        <v>Lilley</v>
      </c>
      <c r="J174" t="str">
        <v>John</v>
      </c>
      <c r="K174">
        <v>8658</v>
      </c>
      <c r="L174" t="str">
        <v>330732627-SEMPRA ENERGY</v>
      </c>
      <c r="M174">
        <v>2022</v>
      </c>
      <c r="N174" t="str">
        <v>Individual is enrolled in a COBRA or Retiree plan coverage that was not sent on a current post-enrollment reporting year import</v>
      </c>
      <c r="O174" t="str">
        <v xml:space="preserve"> </v>
      </c>
      <c r="P174" t="str">
        <v xml:space="preserve"> </v>
      </c>
      <c r="Q174" s="2">
        <v>44653</v>
      </c>
      <c r="R174" s="2" t="str">
        <v xml:space="preserve"> </v>
      </c>
      <c r="S174" t="str">
        <v>02/01/2018-12/31/9999</v>
      </c>
      <c r="T174" t="str">
        <v>Anthem Health Care Plus+</v>
      </c>
    </row>
    <row r="175" spans="1:20" x14ac:dyDescent="0.25">
      <c r="A175" s="3">
        <v>46950</v>
      </c>
      <c r="B175">
        <v>563531444</v>
      </c>
      <c r="C175" t="s">
        <v>629</v>
      </c>
      <c r="D175" t="s">
        <v>628</v>
      </c>
      <c r="E175" t="s">
        <v>46</v>
      </c>
      <c r="F175" s="2">
        <v>43466</v>
      </c>
      <c r="H175" t="str" cm="1">
        <f t="array" aca="1" ref="H175" ca="1">CELL("address",_xlfn.XLOOKUP(A175,Sheet1!C:C,Sheet1!C:C))</f>
        <v>[match.xlsx]Sheet1!$C$359</v>
      </c>
      <c r="I175" t="str" cm="1">
        <f t="array" ref="I175:T175">_xlfn.XLOOKUP(A175,Sheet1!C:C,Sheet1!A:L)</f>
        <v>Montgomery</v>
      </c>
      <c r="J175" t="str">
        <v>Rosemary</v>
      </c>
      <c r="K175">
        <v>46950</v>
      </c>
      <c r="L175" t="str">
        <v>951240705-SO CAL GAS</v>
      </c>
      <c r="M175">
        <v>2022</v>
      </c>
      <c r="N175" t="str">
        <v>Individual is enrolled in a COBRA or Retiree plan coverage that was not sent on a current post-enrollment reporting year import</v>
      </c>
      <c r="O175" t="str">
        <v xml:space="preserve"> </v>
      </c>
      <c r="P175" t="str">
        <v xml:space="preserve"> </v>
      </c>
      <c r="Q175" s="2">
        <v>44653</v>
      </c>
      <c r="R175" s="2" t="str">
        <v xml:space="preserve"> </v>
      </c>
      <c r="S175" t="str">
        <v>01/01/2019-12/31/9999</v>
      </c>
      <c r="T175" t="str">
        <v>Anthem PPO Out-of-CA</v>
      </c>
    </row>
    <row r="176" spans="1:20" x14ac:dyDescent="0.25">
      <c r="A176" s="3">
        <v>42554</v>
      </c>
      <c r="B176">
        <v>558256491</v>
      </c>
      <c r="C176" t="s">
        <v>734</v>
      </c>
      <c r="D176" t="s">
        <v>733</v>
      </c>
      <c r="E176" t="s">
        <v>24</v>
      </c>
      <c r="F176" s="2">
        <v>43739</v>
      </c>
      <c r="H176" t="str" cm="1">
        <f t="array" aca="1" ref="H176" ca="1">CELL("address",_xlfn.XLOOKUP(A176,Sheet1!C:C,Sheet1!C:C))</f>
        <v>[match.xlsx]Sheet1!$C$440</v>
      </c>
      <c r="I176" t="str" cm="1">
        <f t="array" ref="I176:T176">_xlfn.XLOOKUP(A176,Sheet1!C:C,Sheet1!A:L)</f>
        <v>Ridge</v>
      </c>
      <c r="J176" t="str">
        <v>Sande</v>
      </c>
      <c r="K176">
        <v>42554</v>
      </c>
      <c r="L176" t="str">
        <v>951240705-SO CAL GAS</v>
      </c>
      <c r="M176">
        <v>2022</v>
      </c>
      <c r="N176" t="str">
        <v>Individual is enrolled in a COBRA or Retiree plan coverage that was not sent on a current post-enrollment reporting year import</v>
      </c>
      <c r="O176" t="str">
        <v xml:space="preserve"> </v>
      </c>
      <c r="P176" t="str">
        <v xml:space="preserve"> </v>
      </c>
      <c r="Q176" s="2">
        <v>44653</v>
      </c>
      <c r="R176" s="2" t="str">
        <v xml:space="preserve"> </v>
      </c>
      <c r="S176" t="str">
        <v>10/01/2019-12/31/9999</v>
      </c>
      <c r="T176" t="str">
        <v>Anthem Health Care Plus+</v>
      </c>
    </row>
    <row r="177" spans="1:20" x14ac:dyDescent="0.25">
      <c r="A177" s="3">
        <v>32459</v>
      </c>
      <c r="B177">
        <v>545061390</v>
      </c>
      <c r="C177" t="s">
        <v>301</v>
      </c>
      <c r="D177" t="s">
        <v>300</v>
      </c>
      <c r="E177" t="s">
        <v>24</v>
      </c>
      <c r="F177" s="2">
        <v>43831</v>
      </c>
      <c r="H177" t="str" cm="1">
        <f t="array" aca="1" ref="H177" ca="1">CELL("address",_xlfn.XLOOKUP(A177,Sheet1!C:C,Sheet1!C:C))</f>
        <v>[match.xlsx]Sheet1!$C$138</v>
      </c>
      <c r="I177" t="str" cm="1">
        <f t="array" ref="I177:T177">_xlfn.XLOOKUP(A177,Sheet1!C:C,Sheet1!A:L)</f>
        <v>Espinosa</v>
      </c>
      <c r="J177" t="str">
        <v>Raymond</v>
      </c>
      <c r="K177">
        <v>32459</v>
      </c>
      <c r="L177" t="str">
        <v>951240705-SO CAL GAS</v>
      </c>
      <c r="M177">
        <v>2022</v>
      </c>
      <c r="N177" t="str">
        <v>Individual is enrolled in a COBRA or Retiree plan coverage that was not sent on a current post-enrollment reporting year import</v>
      </c>
      <c r="O177" t="str">
        <v xml:space="preserve"> </v>
      </c>
      <c r="P177" t="str">
        <v xml:space="preserve"> </v>
      </c>
      <c r="Q177" s="2">
        <v>44653</v>
      </c>
      <c r="R177" s="2" t="str">
        <v xml:space="preserve"> </v>
      </c>
      <c r="S177" t="str">
        <v>01/01/2020-12/31/9999</v>
      </c>
      <c r="T177" t="str">
        <v>Anthem Health Care Plus+</v>
      </c>
    </row>
    <row r="178" spans="1:20" x14ac:dyDescent="0.25">
      <c r="A178" s="3">
        <v>38749</v>
      </c>
      <c r="B178">
        <v>553278893</v>
      </c>
      <c r="C178" t="s">
        <v>103</v>
      </c>
      <c r="D178" t="s">
        <v>102</v>
      </c>
      <c r="E178" t="s">
        <v>24</v>
      </c>
      <c r="F178" s="2">
        <v>43862</v>
      </c>
      <c r="H178" t="str" cm="1">
        <f t="array" aca="1" ref="H178" ca="1">CELL("address",_xlfn.XLOOKUP(A178,Sheet1!C:C,Sheet1!C:C))</f>
        <v>[match.xlsx]Sheet1!$C$37</v>
      </c>
      <c r="I178" t="str" cm="1">
        <f t="array" ref="I178:T178">_xlfn.XLOOKUP(A178,Sheet1!C:C,Sheet1!A:L)</f>
        <v>Bermel</v>
      </c>
      <c r="J178" t="str">
        <v>Michael</v>
      </c>
      <c r="K178">
        <v>38749</v>
      </c>
      <c r="L178" t="str">
        <v>951240705-SO CAL GAS</v>
      </c>
      <c r="M178">
        <v>2022</v>
      </c>
      <c r="N178" t="str">
        <v>Individual is enrolled in a COBRA or Retiree plan coverage that was not sent on a current post-enrollment reporting year import</v>
      </c>
      <c r="O178" t="str">
        <v xml:space="preserve"> </v>
      </c>
      <c r="P178" t="str">
        <v xml:space="preserve"> </v>
      </c>
      <c r="Q178" s="2">
        <v>44653</v>
      </c>
      <c r="R178" s="2" t="str">
        <v xml:space="preserve"> </v>
      </c>
      <c r="S178" t="str">
        <v>02/01/2020-12/31/9999</v>
      </c>
      <c r="T178" t="str">
        <v>Anthem Health Care Plus+</v>
      </c>
    </row>
    <row r="179" spans="1:20" x14ac:dyDescent="0.25">
      <c r="A179" s="3">
        <v>97503</v>
      </c>
      <c r="B179">
        <v>290764025</v>
      </c>
      <c r="C179" t="s">
        <v>1101</v>
      </c>
      <c r="D179" t="s">
        <v>1102</v>
      </c>
      <c r="E179" t="s">
        <v>957</v>
      </c>
      <c r="F179" s="2">
        <v>43466</v>
      </c>
      <c r="H179" t="str" cm="1">
        <f t="array" aca="1" ref="H179" ca="1">CELL("address",_xlfn.XLOOKUP(A179,Sheet1!C:C,Sheet1!C:C))</f>
        <v>[match.xlsx]Sheet1!$C$550</v>
      </c>
      <c r="I179" t="str" cm="1">
        <f t="array" ref="I179:T179">_xlfn.XLOOKUP(A179,Sheet1!C:C,Sheet1!A:L)</f>
        <v>Ung</v>
      </c>
      <c r="J179" t="str">
        <v>Nareth</v>
      </c>
      <c r="K179">
        <v>97503</v>
      </c>
      <c r="L179" t="str">
        <v>951240705-SO CAL GAS</v>
      </c>
      <c r="M179">
        <v>2022</v>
      </c>
      <c r="N179" t="str">
        <v>Individual is enrolled in a COBRA or Retiree plan coverage that was not sent on a current post-enrollment reporting year import</v>
      </c>
      <c r="O179" t="str">
        <v xml:space="preserve"> </v>
      </c>
      <c r="P179" t="str">
        <v xml:space="preserve"> </v>
      </c>
      <c r="Q179" s="2">
        <v>44653</v>
      </c>
      <c r="R179" s="2" t="str">
        <v xml:space="preserve"> </v>
      </c>
      <c r="S179" t="str">
        <v>01/01/2018-12/31/9999</v>
      </c>
      <c r="T179" t="str">
        <v>Anthem Select Plus HMO</v>
      </c>
    </row>
    <row r="180" spans="1:20" x14ac:dyDescent="0.25">
      <c r="A180" s="3">
        <v>27545</v>
      </c>
      <c r="B180">
        <v>573709919</v>
      </c>
      <c r="C180" t="s">
        <v>310</v>
      </c>
      <c r="D180" t="s">
        <v>309</v>
      </c>
      <c r="E180" t="s">
        <v>24</v>
      </c>
      <c r="F180" s="2">
        <v>43862</v>
      </c>
      <c r="H180" t="str" cm="1">
        <f t="array" aca="1" ref="H180" ca="1">CELL("address",_xlfn.XLOOKUP(A180,Sheet1!C:C,Sheet1!C:C))</f>
        <v>[match.xlsx]Sheet1!$C$143</v>
      </c>
      <c r="I180" t="str" cm="1">
        <f t="array" ref="I180:T180">_xlfn.XLOOKUP(A180,Sheet1!C:C,Sheet1!A:L)</f>
        <v>Feldkamp</v>
      </c>
      <c r="J180" t="str">
        <v>Gordon</v>
      </c>
      <c r="K180">
        <v>27545</v>
      </c>
      <c r="L180" t="str">
        <v>951184800-SAN DIEGO GAS &amp; ELECTRIC</v>
      </c>
      <c r="M180">
        <v>2022</v>
      </c>
      <c r="N180" t="str">
        <v>Individual is enrolled in a COBRA or Retiree plan coverage that was not sent on a current post-enrollment reporting year import</v>
      </c>
      <c r="O180" t="str">
        <v xml:space="preserve"> </v>
      </c>
      <c r="P180" t="str">
        <v xml:space="preserve"> </v>
      </c>
      <c r="Q180" s="2">
        <v>44653</v>
      </c>
      <c r="R180" s="2" t="str">
        <v xml:space="preserve"> </v>
      </c>
      <c r="S180" t="str">
        <v>02/01/2020-12/31/9999</v>
      </c>
      <c r="T180" t="str">
        <v>Anthem Health Care Plus+</v>
      </c>
    </row>
    <row r="181" spans="1:20" x14ac:dyDescent="0.25">
      <c r="A181" s="3">
        <v>54308</v>
      </c>
      <c r="B181">
        <v>573176745</v>
      </c>
      <c r="C181" t="s">
        <v>103</v>
      </c>
      <c r="D181" t="s">
        <v>168</v>
      </c>
      <c r="E181" t="s">
        <v>24</v>
      </c>
      <c r="F181" s="2">
        <v>43678</v>
      </c>
      <c r="H181" t="str" cm="1">
        <f t="array" aca="1" ref="H181" ca="1">CELL("address",_xlfn.XLOOKUP(A181,Sheet1!C:C,Sheet1!C:C))</f>
        <v>[match.xlsx]Sheet1!$C$67</v>
      </c>
      <c r="I181" t="str" cm="1">
        <f t="array" ref="I181:T181">_xlfn.XLOOKUP(A181,Sheet1!C:C,Sheet1!A:L)</f>
        <v>Calabrese</v>
      </c>
      <c r="J181" t="str">
        <v>Michael</v>
      </c>
      <c r="K181">
        <v>54308</v>
      </c>
      <c r="L181" t="str">
        <v>951184800-SAN DIEGO GAS &amp; ELECTRIC</v>
      </c>
      <c r="M181">
        <v>2022</v>
      </c>
      <c r="N181" t="str">
        <v>Individual is enrolled in a COBRA or Retiree plan coverage that was not sent on a current post-enrollment reporting year import</v>
      </c>
      <c r="O181" t="str">
        <v xml:space="preserve"> </v>
      </c>
      <c r="P181" t="str">
        <v xml:space="preserve"> </v>
      </c>
      <c r="Q181" s="2">
        <v>44653</v>
      </c>
      <c r="R181" s="2" t="str">
        <v xml:space="preserve"> </v>
      </c>
      <c r="S181" t="str">
        <v>08/01/2019-12/31/9999</v>
      </c>
      <c r="T181" t="str">
        <v>Anthem Health Care Plus+</v>
      </c>
    </row>
    <row r="182" spans="1:20" x14ac:dyDescent="0.25">
      <c r="A182" s="3">
        <v>5163</v>
      </c>
      <c r="B182">
        <v>571726494</v>
      </c>
      <c r="C182" t="s">
        <v>746</v>
      </c>
      <c r="D182" t="s">
        <v>745</v>
      </c>
      <c r="E182" t="s">
        <v>957</v>
      </c>
      <c r="F182" s="2">
        <v>43466</v>
      </c>
      <c r="H182" t="str" cm="1">
        <f t="array" aca="1" ref="H182" ca="1">CELL("address",_xlfn.XLOOKUP(A182,Sheet1!C:C,Sheet1!C:C))</f>
        <v>[match.xlsx]Sheet1!$C$451</v>
      </c>
      <c r="I182" t="str" cm="1">
        <f t="array" ref="I182:T182">_xlfn.XLOOKUP(A182,Sheet1!C:C,Sheet1!A:L)</f>
        <v>Rodgers</v>
      </c>
      <c r="J182" t="str">
        <v>Diane</v>
      </c>
      <c r="K182">
        <v>5163</v>
      </c>
      <c r="L182" t="str">
        <v>951184800-SAN DIEGO GAS &amp; ELECTRIC</v>
      </c>
      <c r="M182">
        <v>2022</v>
      </c>
      <c r="N182" t="str">
        <v>Individual is enrolled in a COBRA or Retiree plan coverage that was not sent on a current post-enrollment reporting year import</v>
      </c>
      <c r="O182" t="str">
        <v xml:space="preserve"> </v>
      </c>
      <c r="P182" t="str">
        <v xml:space="preserve"> </v>
      </c>
      <c r="Q182" s="2">
        <v>44653</v>
      </c>
      <c r="R182" s="2" t="str">
        <v xml:space="preserve"> </v>
      </c>
      <c r="S182" t="str">
        <v>03/01/2018-12/31/9999</v>
      </c>
      <c r="T182" t="str">
        <v>Anthem Select HMO</v>
      </c>
    </row>
    <row r="183" spans="1:20" x14ac:dyDescent="0.25">
      <c r="A183" s="3">
        <v>52161</v>
      </c>
      <c r="B183">
        <v>564271074</v>
      </c>
      <c r="C183" t="s">
        <v>568</v>
      </c>
      <c r="D183" t="s">
        <v>567</v>
      </c>
      <c r="E183" t="s">
        <v>24</v>
      </c>
      <c r="F183" s="2">
        <v>44075</v>
      </c>
      <c r="H183" t="str" cm="1">
        <f t="array" aca="1" ref="H183" ca="1">CELL("address",_xlfn.XLOOKUP(A183,Sheet1!C:C,Sheet1!C:C))</f>
        <v>[match.xlsx]Sheet1!$C$314</v>
      </c>
      <c r="I183" t="str" cm="1">
        <f t="array" ref="I183:T183">_xlfn.XLOOKUP(A183,Sheet1!C:C,Sheet1!A:L)</f>
        <v>Loveless</v>
      </c>
      <c r="J183" t="str">
        <v>Berkeley</v>
      </c>
      <c r="K183">
        <v>52161</v>
      </c>
      <c r="L183" t="str">
        <v>951184800-SAN DIEGO GAS &amp; ELECTRIC</v>
      </c>
      <c r="M183">
        <v>2022</v>
      </c>
      <c r="N183" t="str">
        <v>Individual is enrolled in a COBRA or Retiree plan coverage that was not sent on a current post-enrollment reporting year import</v>
      </c>
      <c r="O183" t="str">
        <v xml:space="preserve"> </v>
      </c>
      <c r="P183" t="str">
        <v xml:space="preserve"> </v>
      </c>
      <c r="Q183" s="2">
        <v>44653</v>
      </c>
      <c r="R183" s="2" t="str">
        <v xml:space="preserve"> </v>
      </c>
      <c r="S183" t="str">
        <v>09/01/2020-12/31/9999</v>
      </c>
      <c r="T183" t="str">
        <v>Anthem Health Care Plus+</v>
      </c>
    </row>
    <row r="184" spans="1:20" x14ac:dyDescent="0.25">
      <c r="A184" s="3">
        <v>59303</v>
      </c>
      <c r="B184">
        <v>567175436</v>
      </c>
      <c r="C184" t="s">
        <v>321</v>
      </c>
      <c r="D184" t="s">
        <v>320</v>
      </c>
      <c r="E184" t="s">
        <v>71</v>
      </c>
      <c r="F184" s="2">
        <v>43132</v>
      </c>
      <c r="H184" t="str" cm="1">
        <f t="array" aca="1" ref="H184" ca="1">CELL("address",_xlfn.XLOOKUP(A184,Sheet1!C:C,Sheet1!C:C))</f>
        <v>[match.xlsx]Sheet1!$C$150</v>
      </c>
      <c r="I184" t="str" cm="1">
        <f t="array" ref="I184:T184">_xlfn.XLOOKUP(A184,Sheet1!C:C,Sheet1!A:L)</f>
        <v>Flohs</v>
      </c>
      <c r="J184" t="str">
        <v>Alicia</v>
      </c>
      <c r="K184">
        <v>59303</v>
      </c>
      <c r="L184" t="str">
        <v>951184800-SAN DIEGO GAS &amp; ELECTRIC</v>
      </c>
      <c r="M184">
        <v>2022</v>
      </c>
      <c r="N184" t="str">
        <v>Individual is enrolled in a COBRA or Retiree plan coverage that was not sent on a current post-enrollment reporting year import</v>
      </c>
      <c r="O184" t="str">
        <v xml:space="preserve"> </v>
      </c>
      <c r="P184" t="str">
        <v xml:space="preserve"> </v>
      </c>
      <c r="Q184" s="2">
        <v>44653</v>
      </c>
      <c r="R184" s="2" t="str">
        <v xml:space="preserve"> </v>
      </c>
      <c r="S184" t="str">
        <v>02/01/2018-12/31/9999</v>
      </c>
      <c r="T184" t="str">
        <v>Anthem Select HMO</v>
      </c>
    </row>
    <row r="185" spans="1:20" x14ac:dyDescent="0.25">
      <c r="A185" s="3">
        <v>33438</v>
      </c>
      <c r="B185">
        <v>546419860</v>
      </c>
      <c r="C185" t="s">
        <v>74</v>
      </c>
      <c r="D185" t="s">
        <v>478</v>
      </c>
      <c r="E185" t="s">
        <v>24</v>
      </c>
      <c r="F185" s="2">
        <v>43983</v>
      </c>
      <c r="H185" t="str" cm="1">
        <f t="array" aca="1" ref="H185" ca="1">CELL("address",_xlfn.XLOOKUP(A185,Sheet1!C:C,Sheet1!C:C))</f>
        <v>[match.xlsx]Sheet1!$C$251</v>
      </c>
      <c r="I185" t="str" cm="1">
        <f t="array" ref="I185:T185">_xlfn.XLOOKUP(A185,Sheet1!C:C,Sheet1!A:L)</f>
        <v>Jonkhoff</v>
      </c>
      <c r="J185" t="str">
        <v>John</v>
      </c>
      <c r="K185">
        <v>33438</v>
      </c>
      <c r="L185" t="str">
        <v>951240705-SO CAL GAS</v>
      </c>
      <c r="M185">
        <v>2022</v>
      </c>
      <c r="N185" t="str">
        <v>Individual is enrolled in a COBRA or Retiree plan coverage that was not sent on a current post-enrollment reporting year import</v>
      </c>
      <c r="O185" t="str">
        <v xml:space="preserve"> </v>
      </c>
      <c r="P185" t="str">
        <v xml:space="preserve"> </v>
      </c>
      <c r="Q185" s="2">
        <v>44653</v>
      </c>
      <c r="R185" s="2" t="str">
        <v xml:space="preserve"> </v>
      </c>
      <c r="S185" t="str">
        <v>06/01/2020-12/31/9999</v>
      </c>
      <c r="T185" t="str">
        <v>Anthem Health Care Plus+</v>
      </c>
    </row>
    <row r="186" spans="1:20" x14ac:dyDescent="0.25">
      <c r="A186" s="3">
        <v>53360</v>
      </c>
      <c r="B186">
        <v>404800198</v>
      </c>
      <c r="C186" t="s">
        <v>1103</v>
      </c>
      <c r="D186" t="s">
        <v>1104</v>
      </c>
      <c r="E186" t="s">
        <v>954</v>
      </c>
      <c r="F186" s="2">
        <v>43435</v>
      </c>
      <c r="H186" t="str" cm="1">
        <f t="array" aca="1" ref="H186" ca="1">CELL("address",_xlfn.XLOOKUP(A186,Sheet1!C:C,Sheet1!C:C))</f>
        <v>[match.xlsx]Sheet1!$C$322</v>
      </c>
      <c r="I186" t="str" cm="1">
        <f t="array" ref="I186:T186">_xlfn.XLOOKUP(A186,Sheet1!C:C,Sheet1!A:L)</f>
        <v>Manning</v>
      </c>
      <c r="J186" t="str">
        <v>Lela</v>
      </c>
      <c r="K186">
        <v>53360</v>
      </c>
      <c r="L186" t="str">
        <v>951184800-SAN DIEGO GAS &amp; ELECTRIC</v>
      </c>
      <c r="M186">
        <v>2022</v>
      </c>
      <c r="N186" t="str">
        <v>Individual is enrolled in a COBRA or Retiree plan coverage that was not sent on a current post-enrollment reporting year import</v>
      </c>
      <c r="O186" t="str">
        <v xml:space="preserve"> </v>
      </c>
      <c r="P186" t="str">
        <v xml:space="preserve"> </v>
      </c>
      <c r="Q186" s="2">
        <v>44653</v>
      </c>
      <c r="R186" s="2" t="str">
        <v xml:space="preserve"> </v>
      </c>
      <c r="S186" t="str">
        <v>07/01/2018-12/31/9999</v>
      </c>
      <c r="T186" t="str">
        <v>Anthem Select HMO</v>
      </c>
    </row>
    <row r="187" spans="1:20" x14ac:dyDescent="0.25">
      <c r="A187" s="3">
        <v>62583</v>
      </c>
      <c r="B187">
        <v>548066453</v>
      </c>
      <c r="C187" t="s">
        <v>532</v>
      </c>
      <c r="D187" t="s">
        <v>531</v>
      </c>
      <c r="E187" t="s">
        <v>24</v>
      </c>
      <c r="F187" s="2">
        <v>44013</v>
      </c>
      <c r="H187" t="str" cm="1">
        <f t="array" aca="1" ref="H187" ca="1">CELL("address",_xlfn.XLOOKUP(A187,Sheet1!C:C,Sheet1!C:C))</f>
        <v>[match.xlsx]Sheet1!$C$288</v>
      </c>
      <c r="I187" t="str" cm="1">
        <f t="array" ref="I187:T187">_xlfn.XLOOKUP(A187,Sheet1!C:C,Sheet1!A:L)</f>
        <v>Leeman</v>
      </c>
      <c r="J187" t="str">
        <v>Tim</v>
      </c>
      <c r="K187">
        <v>62583</v>
      </c>
      <c r="L187" t="str">
        <v>951240705-SO CAL GAS</v>
      </c>
      <c r="M187">
        <v>2022</v>
      </c>
      <c r="N187" t="str">
        <v>Individual is enrolled in a COBRA or Retiree plan coverage that was not sent on a current post-enrollment reporting year import</v>
      </c>
      <c r="O187" t="str">
        <v xml:space="preserve"> </v>
      </c>
      <c r="P187" t="str">
        <v xml:space="preserve"> </v>
      </c>
      <c r="Q187" s="2">
        <v>44653</v>
      </c>
      <c r="R187" s="2" t="str">
        <v xml:space="preserve"> </v>
      </c>
      <c r="S187" t="str">
        <v>07/01/2020-12/31/9999</v>
      </c>
      <c r="T187" t="str">
        <v>Anthem Health Care Plus+</v>
      </c>
    </row>
    <row r="188" spans="1:20" x14ac:dyDescent="0.25">
      <c r="A188" s="3">
        <v>22228</v>
      </c>
      <c r="B188">
        <v>406861122</v>
      </c>
      <c r="C188" t="s">
        <v>149</v>
      </c>
      <c r="D188" t="s">
        <v>521</v>
      </c>
      <c r="E188" t="s">
        <v>71</v>
      </c>
      <c r="F188" s="2">
        <v>43344</v>
      </c>
      <c r="H188" t="str" cm="1">
        <f t="array" aca="1" ref="H188" ca="1">CELL("address",_xlfn.XLOOKUP(A188,Sheet1!C:C,Sheet1!C:C))</f>
        <v>[match.xlsx]Sheet1!$C$278</v>
      </c>
      <c r="I188" t="str" cm="1">
        <f t="array" ref="I188:T188">_xlfn.XLOOKUP(A188,Sheet1!C:C,Sheet1!A:L)</f>
        <v>Lane</v>
      </c>
      <c r="J188" t="str">
        <v>Charles</v>
      </c>
      <c r="K188">
        <v>22228</v>
      </c>
      <c r="L188" t="str">
        <v>330732627-SEMPRA ENERGY</v>
      </c>
      <c r="M188">
        <v>2022</v>
      </c>
      <c r="N188" t="str">
        <v>Individual is enrolled in a COBRA or Retiree plan coverage that was not sent on a current post-enrollment reporting year import</v>
      </c>
      <c r="O188" t="str">
        <v xml:space="preserve"> </v>
      </c>
      <c r="P188" t="str">
        <v xml:space="preserve"> </v>
      </c>
      <c r="Q188" s="2">
        <v>44653</v>
      </c>
      <c r="R188" s="2" t="str">
        <v xml:space="preserve"> </v>
      </c>
      <c r="S188" t="str">
        <v>09/01/2018-12/31/9999</v>
      </c>
      <c r="T188" t="str">
        <v>Anthem Select HMO</v>
      </c>
    </row>
    <row r="189" spans="1:20" x14ac:dyDescent="0.25">
      <c r="A189" s="3">
        <v>33392</v>
      </c>
      <c r="B189">
        <v>546356122</v>
      </c>
      <c r="C189" t="s">
        <v>122</v>
      </c>
      <c r="D189" t="s">
        <v>121</v>
      </c>
      <c r="E189" t="s">
        <v>24</v>
      </c>
      <c r="F189" s="2">
        <v>43739</v>
      </c>
      <c r="H189" t="str" cm="1">
        <f t="array" aca="1" ref="H189" ca="1">CELL("address",_xlfn.XLOOKUP(A189,Sheet1!C:C,Sheet1!C:C))</f>
        <v>[match.xlsx]Sheet1!$C$45</v>
      </c>
      <c r="I189" t="str" cm="1">
        <f t="array" ref="I189:T189">_xlfn.XLOOKUP(A189,Sheet1!C:C,Sheet1!A:L)</f>
        <v>Blaser</v>
      </c>
      <c r="J189" t="str">
        <v>Kevin</v>
      </c>
      <c r="K189">
        <v>33392</v>
      </c>
      <c r="L189" t="str">
        <v>951240705-SO CAL GAS</v>
      </c>
      <c r="M189">
        <v>2022</v>
      </c>
      <c r="N189" t="str">
        <v>Individual is enrolled in a COBRA or Retiree plan coverage that was not sent on a current post-enrollment reporting year import</v>
      </c>
      <c r="O189" t="str">
        <v xml:space="preserve"> </v>
      </c>
      <c r="P189" t="str">
        <v xml:space="preserve"> </v>
      </c>
      <c r="Q189" s="2">
        <v>44653</v>
      </c>
      <c r="R189" s="2" t="str">
        <v xml:space="preserve"> </v>
      </c>
      <c r="S189" t="str">
        <v>10/01/2019-12/31/9999</v>
      </c>
      <c r="T189" t="str">
        <v>Anthem Health Care Plus+</v>
      </c>
    </row>
    <row r="190" spans="1:20" x14ac:dyDescent="0.25">
      <c r="A190" s="3">
        <v>75467</v>
      </c>
      <c r="B190">
        <v>562860478</v>
      </c>
      <c r="C190" t="s">
        <v>1084</v>
      </c>
      <c r="D190" t="s">
        <v>1105</v>
      </c>
      <c r="E190" t="s">
        <v>954</v>
      </c>
      <c r="F190" s="2">
        <v>43586</v>
      </c>
      <c r="H190" t="str" cm="1">
        <f t="array" aca="1" ref="H190" ca="1">CELL("address",_xlfn.XLOOKUP(A190,Sheet1!C:C,Sheet1!C:C))</f>
        <v>[match.xlsx]Sheet1!$C$475</v>
      </c>
      <c r="I190" t="str" cm="1">
        <f t="array" ref="I190:T190">_xlfn.XLOOKUP(A190,Sheet1!C:C,Sheet1!A:L)</f>
        <v>Savery</v>
      </c>
      <c r="J190" t="str">
        <v>Mark</v>
      </c>
      <c r="K190">
        <v>75467</v>
      </c>
      <c r="L190" t="str">
        <v>951184800-SAN DIEGO GAS &amp; ELECTRIC</v>
      </c>
      <c r="M190">
        <v>2022</v>
      </c>
      <c r="N190" t="str">
        <v>Individual is enrolled in a COBRA or Retiree plan coverage that was not sent on a current post-enrollment reporting year import</v>
      </c>
      <c r="O190" t="str">
        <v xml:space="preserve"> </v>
      </c>
      <c r="P190" t="str">
        <v xml:space="preserve"> </v>
      </c>
      <c r="Q190" s="2">
        <v>44653</v>
      </c>
      <c r="R190" s="2" t="str">
        <v xml:space="preserve"> </v>
      </c>
      <c r="S190" t="str">
        <v>01/01/2019-12/31/9999</v>
      </c>
      <c r="T190" t="str">
        <v>Anthem Health Care Plus+</v>
      </c>
    </row>
    <row r="191" spans="1:20" x14ac:dyDescent="0.25">
      <c r="A191" s="3">
        <v>97209</v>
      </c>
      <c r="B191">
        <v>329682701</v>
      </c>
      <c r="C191" t="s">
        <v>202</v>
      </c>
      <c r="D191" t="s">
        <v>201</v>
      </c>
      <c r="E191" t="s">
        <v>24</v>
      </c>
      <c r="F191" s="2">
        <v>43435</v>
      </c>
      <c r="H191" t="str" cm="1">
        <f t="array" aca="1" ref="H191" ca="1">CELL("address",_xlfn.XLOOKUP(A191,Sheet1!C:C,Sheet1!C:C))</f>
        <v>[match.xlsx]Sheet1!$C$85</v>
      </c>
      <c r="I191" t="str" cm="1">
        <f t="array" ref="I191:T191">_xlfn.XLOOKUP(A191,Sheet1!C:C,Sheet1!A:L)</f>
        <v>Chen</v>
      </c>
      <c r="J191" t="str">
        <v>Chi-Wei Donna</v>
      </c>
      <c r="K191">
        <v>97209</v>
      </c>
      <c r="L191" t="str">
        <v>951240705-SO CAL GAS</v>
      </c>
      <c r="M191">
        <v>2022</v>
      </c>
      <c r="N191" t="str">
        <v>Individual is enrolled in a COBRA or Retiree plan coverage that was not sent on a current post-enrollment reporting year import</v>
      </c>
      <c r="O191" t="str">
        <v xml:space="preserve"> </v>
      </c>
      <c r="P191" t="str">
        <v xml:space="preserve"> </v>
      </c>
      <c r="Q191" s="2">
        <v>44653</v>
      </c>
      <c r="R191" s="2" t="str">
        <v xml:space="preserve"> </v>
      </c>
      <c r="S191" t="str">
        <v>12/01/2018-12/31/9999</v>
      </c>
      <c r="T191" t="str">
        <v>Anthem Health Care Plus+</v>
      </c>
    </row>
    <row r="192" spans="1:20" x14ac:dyDescent="0.25">
      <c r="A192" s="3">
        <v>4326</v>
      </c>
      <c r="B192">
        <v>567172615</v>
      </c>
      <c r="C192" t="s">
        <v>53</v>
      </c>
      <c r="D192" t="s">
        <v>764</v>
      </c>
      <c r="E192" t="s">
        <v>24</v>
      </c>
      <c r="F192" s="2">
        <v>43466</v>
      </c>
      <c r="H192" t="str" cm="1">
        <f t="array" aca="1" ref="H192" ca="1">CELL("address",_xlfn.XLOOKUP(A192,Sheet1!C:C,Sheet1!C:C))</f>
        <v>[match.xlsx]Sheet1!$C$467</v>
      </c>
      <c r="I192" t="str" cm="1">
        <f t="array" ref="I192:T192">_xlfn.XLOOKUP(A192,Sheet1!C:C,Sheet1!A:L)</f>
        <v>Saenz</v>
      </c>
      <c r="J192" t="str">
        <v>Patricia</v>
      </c>
      <c r="K192">
        <v>4326</v>
      </c>
      <c r="L192" t="str">
        <v>951184800-SAN DIEGO GAS &amp; ELECTRIC</v>
      </c>
      <c r="M192">
        <v>2022</v>
      </c>
      <c r="N192" t="str">
        <v>Individual is enrolled in a COBRA or Retiree plan coverage that was not sent on a current post-enrollment reporting year import</v>
      </c>
      <c r="O192" t="str">
        <v xml:space="preserve"> </v>
      </c>
      <c r="P192" t="str">
        <v xml:space="preserve"> </v>
      </c>
      <c r="Q192" s="2">
        <v>44653</v>
      </c>
      <c r="R192" s="2" t="str">
        <v xml:space="preserve"> </v>
      </c>
      <c r="S192" t="str">
        <v>01/01/2019-12/31/9999</v>
      </c>
      <c r="T192" t="str">
        <v>Anthem Health Care Plus+</v>
      </c>
    </row>
    <row r="193" spans="1:20" x14ac:dyDescent="0.25">
      <c r="A193" s="3">
        <v>22157</v>
      </c>
      <c r="B193">
        <v>619825260</v>
      </c>
      <c r="C193" t="s">
        <v>1106</v>
      </c>
      <c r="D193" t="s">
        <v>1107</v>
      </c>
      <c r="E193" t="s">
        <v>71</v>
      </c>
      <c r="F193" s="2">
        <v>43586</v>
      </c>
      <c r="H193" t="str" cm="1">
        <f t="array" aca="1" ref="H193" ca="1">CELL("address",_xlfn.XLOOKUP(A193,Sheet1!C:C,Sheet1!C:C))</f>
        <v>[match.xlsx]Sheet1!$C$425</v>
      </c>
      <c r="I193" t="str" cm="1">
        <f t="array" ref="I193:T193">_xlfn.XLOOKUP(A193,Sheet1!C:C,Sheet1!A:L)</f>
        <v>Radchenko</v>
      </c>
      <c r="J193" t="str">
        <v>Lana</v>
      </c>
      <c r="K193">
        <v>22157</v>
      </c>
      <c r="L193" t="str">
        <v>330732627-SEMPRA ENERGY</v>
      </c>
      <c r="M193">
        <v>2022</v>
      </c>
      <c r="N193" t="str">
        <v>Individual is enrolled in a COBRA or Retiree plan coverage that was not sent on a current post-enrollment reporting year import</v>
      </c>
      <c r="O193" t="str">
        <v xml:space="preserve"> </v>
      </c>
      <c r="P193" t="str">
        <v xml:space="preserve"> </v>
      </c>
      <c r="Q193" s="2">
        <v>44653</v>
      </c>
      <c r="R193" s="2" t="str">
        <v xml:space="preserve"> </v>
      </c>
      <c r="S193" t="str">
        <v>05/01/2019-12/31/9999</v>
      </c>
      <c r="T193" t="str">
        <v>Anthem Select HMO</v>
      </c>
    </row>
    <row r="194" spans="1:20" x14ac:dyDescent="0.25">
      <c r="A194" s="3">
        <v>49996</v>
      </c>
      <c r="B194">
        <v>567632823</v>
      </c>
      <c r="C194" t="s">
        <v>277</v>
      </c>
      <c r="D194" t="s">
        <v>276</v>
      </c>
      <c r="E194" t="s">
        <v>24</v>
      </c>
      <c r="F194" s="2">
        <v>43525</v>
      </c>
      <c r="H194" t="str" cm="1">
        <f t="array" aca="1" ref="H194" ca="1">CELL("address",_xlfn.XLOOKUP(A194,Sheet1!C:C,Sheet1!C:C))</f>
        <v>[match.xlsx]Sheet1!$C$125</v>
      </c>
      <c r="I194" t="str" cm="1">
        <f t="array" ref="I194:T194">_xlfn.XLOOKUP(A194,Sheet1!C:C,Sheet1!A:L)</f>
        <v>Dumas</v>
      </c>
      <c r="J194" t="str">
        <v>Jeffery</v>
      </c>
      <c r="K194">
        <v>49996</v>
      </c>
      <c r="L194" t="str">
        <v>951240705-SO CAL GAS</v>
      </c>
      <c r="M194">
        <v>2022</v>
      </c>
      <c r="N194" t="str">
        <v>Individual is enrolled in a COBRA or Retiree plan coverage that was not sent on a current post-enrollment reporting year import</v>
      </c>
      <c r="O194" t="str">
        <v xml:space="preserve"> </v>
      </c>
      <c r="P194" t="str">
        <v xml:space="preserve"> </v>
      </c>
      <c r="Q194" s="2">
        <v>44653</v>
      </c>
      <c r="R194" s="2" t="str">
        <v xml:space="preserve"> </v>
      </c>
      <c r="S194" t="str">
        <v>03/01/2019-12/31/9999</v>
      </c>
      <c r="T194" t="str">
        <v>Anthem Health Care Plus+</v>
      </c>
    </row>
    <row r="195" spans="1:20" x14ac:dyDescent="0.25">
      <c r="A195" s="3">
        <v>56093</v>
      </c>
      <c r="B195">
        <v>548801601</v>
      </c>
      <c r="C195" t="s">
        <v>1063</v>
      </c>
      <c r="D195" t="s">
        <v>1108</v>
      </c>
      <c r="E195" t="s">
        <v>969</v>
      </c>
      <c r="F195" s="2">
        <v>43739</v>
      </c>
      <c r="H195" t="str" cm="1">
        <f t="array" aca="1" ref="H195" ca="1">CELL("address",_xlfn.XLOOKUP(A195,Sheet1!C:C,Sheet1!C:C))</f>
        <v>[match.xlsx]Sheet1!$C$229</v>
      </c>
      <c r="I195" t="str" cm="1">
        <f t="array" ref="I195:T195">_xlfn.XLOOKUP(A195,Sheet1!C:C,Sheet1!A:L)</f>
        <v>Howard</v>
      </c>
      <c r="J195" t="str">
        <v>Daniel</v>
      </c>
      <c r="K195">
        <v>56093</v>
      </c>
      <c r="L195" t="str">
        <v>330732627-SEMPRA ENERGY</v>
      </c>
      <c r="M195">
        <v>2022</v>
      </c>
      <c r="N195" t="str">
        <v>Individual is enrolled in a COBRA or Retiree plan coverage that was not sent on a current post-enrollment reporting year import</v>
      </c>
      <c r="O195" t="str">
        <v xml:space="preserve"> </v>
      </c>
      <c r="P195" t="str">
        <v xml:space="preserve"> </v>
      </c>
      <c r="Q195" s="2">
        <v>44653</v>
      </c>
      <c r="R195" s="2" t="str">
        <v xml:space="preserve"> </v>
      </c>
      <c r="S195" t="str">
        <v>01/01/2019-12/31/9999</v>
      </c>
      <c r="T195" t="str">
        <v>Anthem Select HMO</v>
      </c>
    </row>
    <row r="196" spans="1:20" x14ac:dyDescent="0.25">
      <c r="A196" s="3">
        <v>34325</v>
      </c>
      <c r="B196">
        <v>525179682</v>
      </c>
      <c r="C196" t="s">
        <v>338</v>
      </c>
      <c r="D196" t="s">
        <v>398</v>
      </c>
      <c r="E196" t="s">
        <v>24</v>
      </c>
      <c r="F196" s="2">
        <v>43252</v>
      </c>
      <c r="H196" t="str" cm="1">
        <f t="array" aca="1" ref="H196" ca="1">CELL("address",_xlfn.XLOOKUP(A196,Sheet1!C:C,Sheet1!C:C))</f>
        <v>[match.xlsx]Sheet1!$C$194</v>
      </c>
      <c r="I196" t="str" cm="1">
        <f t="array" ref="I196:T196">_xlfn.XLOOKUP(A196,Sheet1!C:C,Sheet1!A:L)</f>
        <v>Haas</v>
      </c>
      <c r="J196" t="str">
        <v>Monica</v>
      </c>
      <c r="K196">
        <v>34325</v>
      </c>
      <c r="L196" t="str">
        <v>954673646-SEMPRA SERVICES CORPORATION</v>
      </c>
      <c r="M196">
        <v>2022</v>
      </c>
      <c r="N196" t="str">
        <v>Individual is enrolled in a COBRA or Retiree plan coverage that was not sent on a current post-enrollment reporting year import</v>
      </c>
      <c r="O196" t="str">
        <v xml:space="preserve"> </v>
      </c>
      <c r="P196" t="str">
        <v xml:space="preserve"> </v>
      </c>
      <c r="Q196" s="2">
        <v>44653</v>
      </c>
      <c r="R196" s="2" t="str">
        <v xml:space="preserve"> </v>
      </c>
      <c r="S196" t="str">
        <v>06/01/2018-12/31/9999</v>
      </c>
      <c r="T196" t="str">
        <v>Anthem Health Care Plus+</v>
      </c>
    </row>
    <row r="197" spans="1:20" x14ac:dyDescent="0.25">
      <c r="A197" s="3">
        <v>46880</v>
      </c>
      <c r="B197">
        <v>190385210</v>
      </c>
      <c r="C197" t="s">
        <v>500</v>
      </c>
      <c r="D197" t="s">
        <v>499</v>
      </c>
      <c r="E197" t="s">
        <v>71</v>
      </c>
      <c r="F197" s="2">
        <v>43525</v>
      </c>
      <c r="H197" t="str" cm="1">
        <f t="array" aca="1" ref="H197" ca="1">CELL("address",_xlfn.XLOOKUP(A197,Sheet1!C:C,Sheet1!C:C))</f>
        <v>[match.xlsx]Sheet1!$C$265</v>
      </c>
      <c r="I197" t="str" cm="1">
        <f t="array" ref="I197:T197">_xlfn.XLOOKUP(A197,Sheet1!C:C,Sheet1!A:L)</f>
        <v>Kline</v>
      </c>
      <c r="J197" t="str">
        <v>Douglas</v>
      </c>
      <c r="K197">
        <v>46880</v>
      </c>
      <c r="L197" t="str">
        <v>330732627-SEMPRA ENERGY</v>
      </c>
      <c r="M197">
        <v>2022</v>
      </c>
      <c r="N197" t="str">
        <v>Individual is enrolled in a COBRA or Retiree plan coverage that was not sent on a current post-enrollment reporting year import</v>
      </c>
      <c r="O197" t="str">
        <v xml:space="preserve"> </v>
      </c>
      <c r="P197" t="str">
        <v xml:space="preserve"> </v>
      </c>
      <c r="Q197" s="2">
        <v>44653</v>
      </c>
      <c r="R197" s="2" t="str">
        <v xml:space="preserve"> </v>
      </c>
      <c r="S197" t="str">
        <v>03/01/2019-12/31/9999</v>
      </c>
      <c r="T197" t="str">
        <v>Anthem Select HMO</v>
      </c>
    </row>
    <row r="198" spans="1:20" x14ac:dyDescent="0.25">
      <c r="A198" s="3">
        <v>3072</v>
      </c>
      <c r="B198">
        <v>550395191</v>
      </c>
      <c r="C198" t="s">
        <v>149</v>
      </c>
      <c r="D198" t="s">
        <v>771</v>
      </c>
      <c r="E198" t="s">
        <v>71</v>
      </c>
      <c r="F198" s="2">
        <v>43344</v>
      </c>
      <c r="H198" t="str" cm="1">
        <f t="array" aca="1" ref="H198" ca="1">CELL("address",_xlfn.XLOOKUP(A198,Sheet1!C:C,Sheet1!C:C))</f>
        <v>[match.xlsx]Sheet1!$C$474</v>
      </c>
      <c r="I198" t="str" cm="1">
        <f t="array" ref="I198:T198">_xlfn.XLOOKUP(A198,Sheet1!C:C,Sheet1!A:L)</f>
        <v>Saucer</v>
      </c>
      <c r="J198" t="str">
        <v>Charles</v>
      </c>
      <c r="K198">
        <v>3072</v>
      </c>
      <c r="L198" t="str">
        <v>330732627-SEMPRA ENERGY</v>
      </c>
      <c r="M198">
        <v>2022</v>
      </c>
      <c r="N198" t="str">
        <v>Individual is enrolled in a COBRA or Retiree plan coverage that was not sent on a current post-enrollment reporting year import</v>
      </c>
      <c r="O198" t="str">
        <v xml:space="preserve"> </v>
      </c>
      <c r="P198" t="str">
        <v xml:space="preserve"> </v>
      </c>
      <c r="Q198" s="2">
        <v>44653</v>
      </c>
      <c r="R198" s="2" t="str">
        <v xml:space="preserve"> </v>
      </c>
      <c r="S198" t="str">
        <v>09/01/2018-12/31/9999</v>
      </c>
      <c r="T198" t="str">
        <v>Anthem Select HMO</v>
      </c>
    </row>
    <row r="199" spans="1:20" x14ac:dyDescent="0.25">
      <c r="A199" s="3">
        <v>42643</v>
      </c>
      <c r="B199">
        <v>558318172</v>
      </c>
      <c r="C199" t="s">
        <v>14</v>
      </c>
      <c r="D199" t="s">
        <v>564</v>
      </c>
      <c r="E199" t="s">
        <v>24</v>
      </c>
      <c r="F199" s="2">
        <v>43678</v>
      </c>
      <c r="H199" t="str" cm="1">
        <f t="array" aca="1" ref="H199" ca="1">CELL("address",_xlfn.XLOOKUP(A199,Sheet1!C:C,Sheet1!C:C))</f>
        <v>[match.xlsx]Sheet1!$C$311</v>
      </c>
      <c r="I199" t="str" cm="1">
        <f t="array" ref="I199:T199">_xlfn.XLOOKUP(A199,Sheet1!C:C,Sheet1!A:L)</f>
        <v>Lopez</v>
      </c>
      <c r="J199" t="str">
        <v>Linda</v>
      </c>
      <c r="K199">
        <v>42643</v>
      </c>
      <c r="L199" t="str">
        <v>951240705-SO CAL GAS</v>
      </c>
      <c r="M199">
        <v>2022</v>
      </c>
      <c r="N199" t="str">
        <v>Individual is enrolled in a COBRA or Retiree plan coverage that was not sent on a current post-enrollment reporting year import</v>
      </c>
      <c r="O199" t="str">
        <v xml:space="preserve"> </v>
      </c>
      <c r="P199" t="str">
        <v xml:space="preserve"> </v>
      </c>
      <c r="Q199" s="2">
        <v>44653</v>
      </c>
      <c r="R199" s="2" t="str">
        <v xml:space="preserve"> </v>
      </c>
      <c r="S199" t="str">
        <v>08/01/2019-12/31/9999</v>
      </c>
      <c r="T199" t="str">
        <v>Anthem Health Care Plus+</v>
      </c>
    </row>
    <row r="200" spans="1:20" x14ac:dyDescent="0.25">
      <c r="A200" s="3">
        <v>26880</v>
      </c>
      <c r="B200">
        <v>265296407</v>
      </c>
      <c r="C200" t="s">
        <v>1109</v>
      </c>
      <c r="D200" t="s">
        <v>1110</v>
      </c>
      <c r="E200" t="s">
        <v>24</v>
      </c>
      <c r="F200" s="2">
        <v>43101</v>
      </c>
      <c r="H200" t="str" cm="1">
        <f t="array" aca="1" ref="H200" ca="1">CELL("address",_xlfn.XLOOKUP(A200,Sheet1!C:C,Sheet1!C:C))</f>
        <v>[match.xlsx]Sheet1!$C$300</v>
      </c>
      <c r="I200" t="str" cm="1">
        <f t="array" ref="I200:T200">_xlfn.XLOOKUP(A200,Sheet1!C:C,Sheet1!A:L)</f>
        <v>Lightsey</v>
      </c>
      <c r="J200" t="str">
        <v>Sheila</v>
      </c>
      <c r="K200">
        <v>26880</v>
      </c>
      <c r="L200" t="str">
        <v>951184800-SAN DIEGO GAS &amp; ELECTRIC</v>
      </c>
      <c r="M200">
        <v>2022</v>
      </c>
      <c r="N200" t="str">
        <v>Individual is enrolled in a COBRA or Retiree plan coverage that was not sent on a current post-enrollment reporting year import</v>
      </c>
      <c r="O200" t="str">
        <v xml:space="preserve"> </v>
      </c>
      <c r="P200" t="str">
        <v xml:space="preserve"> </v>
      </c>
      <c r="Q200" s="2">
        <v>44653</v>
      </c>
      <c r="R200" s="2" t="str">
        <v xml:space="preserve"> </v>
      </c>
      <c r="S200" t="str">
        <v>01/01/2018-12/31/9999</v>
      </c>
      <c r="T200" t="str">
        <v>Anthem Health Care Plus+</v>
      </c>
    </row>
    <row r="201" spans="1:20" x14ac:dyDescent="0.25">
      <c r="A201" s="3">
        <v>4943</v>
      </c>
      <c r="B201">
        <v>546680872</v>
      </c>
      <c r="C201" t="s">
        <v>134</v>
      </c>
      <c r="D201" t="s">
        <v>133</v>
      </c>
      <c r="E201" t="s">
        <v>71</v>
      </c>
      <c r="F201" s="2">
        <v>43647</v>
      </c>
      <c r="H201" t="str" cm="1">
        <f t="array" aca="1" ref="H201" ca="1">CELL("address",_xlfn.XLOOKUP(A201,Sheet1!C:C,Sheet1!C:C))</f>
        <v>[match.xlsx]Sheet1!$C$50</v>
      </c>
      <c r="I201" t="str" cm="1">
        <f t="array" ref="I201:T201">_xlfn.XLOOKUP(A201,Sheet1!C:C,Sheet1!A:L)</f>
        <v>Bogan</v>
      </c>
      <c r="J201" t="str">
        <v>Jennifer</v>
      </c>
      <c r="K201">
        <v>4943</v>
      </c>
      <c r="L201" t="str">
        <v>951184800-SAN DIEGO GAS &amp; ELECTRIC</v>
      </c>
      <c r="M201">
        <v>2022</v>
      </c>
      <c r="N201" t="str">
        <v>Individual is enrolled in a COBRA or Retiree plan coverage that was not sent on a current post-enrollment reporting year import</v>
      </c>
      <c r="O201" t="str">
        <v xml:space="preserve"> </v>
      </c>
      <c r="P201" t="str">
        <v xml:space="preserve"> </v>
      </c>
      <c r="Q201" s="2">
        <v>44653</v>
      </c>
      <c r="R201" s="2" t="str">
        <v xml:space="preserve"> </v>
      </c>
      <c r="S201" t="str">
        <v>07/01/2019-12/31/9999</v>
      </c>
      <c r="T201" t="str">
        <v>Anthem Select HMO</v>
      </c>
    </row>
    <row r="202" spans="1:20" x14ac:dyDescent="0.25">
      <c r="A202" s="3">
        <v>63680</v>
      </c>
      <c r="B202">
        <v>564114249</v>
      </c>
      <c r="C202" t="s">
        <v>103</v>
      </c>
      <c r="D202" t="s">
        <v>676</v>
      </c>
      <c r="E202" t="s">
        <v>24</v>
      </c>
      <c r="F202" s="2">
        <v>43647</v>
      </c>
      <c r="H202" t="str" cm="1">
        <f t="array" aca="1" ref="H202" ca="1">CELL("address",_xlfn.XLOOKUP(A202,Sheet1!C:C,Sheet1!C:C))</f>
        <v>[match.xlsx]Sheet1!$C$394</v>
      </c>
      <c r="I202" t="str" cm="1">
        <f t="array" ref="I202:T202">_xlfn.XLOOKUP(A202,Sheet1!C:C,Sheet1!A:L)</f>
        <v>O'Malley</v>
      </c>
      <c r="J202" t="str">
        <v>Michael</v>
      </c>
      <c r="K202">
        <v>63680</v>
      </c>
      <c r="L202" t="str">
        <v>951184800-SAN DIEGO GAS &amp; ELECTRIC</v>
      </c>
      <c r="M202">
        <v>2022</v>
      </c>
      <c r="N202" t="str">
        <v>Individual is enrolled in a COBRA or Retiree plan coverage that was not sent on a current post-enrollment reporting year import</v>
      </c>
      <c r="O202" t="str">
        <v xml:space="preserve"> </v>
      </c>
      <c r="P202" t="str">
        <v xml:space="preserve"> </v>
      </c>
      <c r="Q202" s="2">
        <v>44653</v>
      </c>
      <c r="R202" s="2" t="str">
        <v xml:space="preserve"> </v>
      </c>
      <c r="S202" t="str">
        <v>07/01/2019-12/31/9999</v>
      </c>
      <c r="T202" t="str">
        <v>Anthem Health Care Plus+</v>
      </c>
    </row>
    <row r="203" spans="1:20" x14ac:dyDescent="0.25">
      <c r="A203" s="3">
        <v>47546</v>
      </c>
      <c r="B203">
        <v>564391105</v>
      </c>
      <c r="C203" t="s">
        <v>1041</v>
      </c>
      <c r="D203" t="s">
        <v>1111</v>
      </c>
      <c r="E203" t="s">
        <v>24</v>
      </c>
      <c r="F203" s="2">
        <v>43101</v>
      </c>
      <c r="H203" t="str" cm="1">
        <f t="array" aca="1" ref="H203" ca="1">CELL("address",_xlfn.XLOOKUP(A203,Sheet1!C:C,Sheet1!C:C))</f>
        <v>[match.xlsx]Sheet1!$C$140</v>
      </c>
      <c r="I203" t="str" cm="1">
        <f t="array" ref="I203:T203">_xlfn.XLOOKUP(A203,Sheet1!C:C,Sheet1!A:L)</f>
        <v>Evans</v>
      </c>
      <c r="J203" t="str">
        <v>Catherine</v>
      </c>
      <c r="K203">
        <v>47546</v>
      </c>
      <c r="L203" t="str">
        <v>951240705-SO CAL GAS</v>
      </c>
      <c r="M203">
        <v>2022</v>
      </c>
      <c r="N203" t="str">
        <v>Individual is enrolled in a COBRA or Retiree plan coverage that was not sent on a current post-enrollment reporting year import</v>
      </c>
      <c r="O203" t="str">
        <v xml:space="preserve"> </v>
      </c>
      <c r="P203" t="str">
        <v xml:space="preserve"> </v>
      </c>
      <c r="Q203" s="2">
        <v>44653</v>
      </c>
      <c r="R203" s="2" t="str">
        <v xml:space="preserve"> </v>
      </c>
      <c r="S203" t="str">
        <v>01/01/2018-12/31/9999</v>
      </c>
      <c r="T203" t="str">
        <v>Anthem Health Care Plus+</v>
      </c>
    </row>
    <row r="204" spans="1:20" x14ac:dyDescent="0.25">
      <c r="A204" s="3">
        <v>8153</v>
      </c>
      <c r="B204">
        <v>554063899</v>
      </c>
      <c r="C204" t="s">
        <v>1039</v>
      </c>
      <c r="D204" t="s">
        <v>1112</v>
      </c>
      <c r="E204" t="s">
        <v>71</v>
      </c>
      <c r="F204" s="2">
        <v>43922</v>
      </c>
      <c r="H204" t="str" cm="1">
        <f t="array" aca="1" ref="H204" ca="1">CELL("address",_xlfn.XLOOKUP(A204,Sheet1!C:C,Sheet1!C:C))</f>
        <v>[match.xlsx]Sheet1!$C$112</v>
      </c>
      <c r="I204" t="str" cm="1">
        <f t="array" ref="I204:T204">_xlfn.XLOOKUP(A204,Sheet1!C:C,Sheet1!A:L)</f>
        <v>DeMarco</v>
      </c>
      <c r="J204" t="str">
        <v>Michael</v>
      </c>
      <c r="K204">
        <v>8153</v>
      </c>
      <c r="L204" t="str">
        <v>951184800-SAN DIEGO GAS &amp; ELECTRIC</v>
      </c>
      <c r="M204">
        <v>2022</v>
      </c>
      <c r="N204" t="str">
        <v>Individual is enrolled in a COBRA or Retiree plan coverage that was not sent on a current post-enrollment reporting year import</v>
      </c>
      <c r="O204" t="str">
        <v xml:space="preserve"> </v>
      </c>
      <c r="P204" t="str">
        <v xml:space="preserve"> </v>
      </c>
      <c r="Q204" s="2">
        <v>44653</v>
      </c>
      <c r="R204" s="2" t="str">
        <v xml:space="preserve"> </v>
      </c>
      <c r="S204" t="str">
        <v>04/01/2020-12/31/9999</v>
      </c>
      <c r="T204" t="str">
        <v>Anthem Select HMO</v>
      </c>
    </row>
    <row r="205" spans="1:20" x14ac:dyDescent="0.25">
      <c r="A205" s="3">
        <v>49747</v>
      </c>
      <c r="B205">
        <v>567296079</v>
      </c>
      <c r="C205" t="s">
        <v>1113</v>
      </c>
      <c r="D205" t="s">
        <v>1114</v>
      </c>
      <c r="E205" t="s">
        <v>71</v>
      </c>
      <c r="F205" s="2">
        <v>43101</v>
      </c>
      <c r="H205" t="str" cm="1">
        <f t="array" aca="1" ref="H205" ca="1">CELL("address",_xlfn.XLOOKUP(A205,Sheet1!C:C,Sheet1!C:C))</f>
        <v>[match.xlsx]Sheet1!$C$168</v>
      </c>
      <c r="I205" t="str" cm="1">
        <f t="array" ref="I205:T205">_xlfn.XLOOKUP(A205,Sheet1!C:C,Sheet1!A:L)</f>
        <v>Gautschy</v>
      </c>
      <c r="J205" t="str">
        <v>Steven</v>
      </c>
      <c r="K205">
        <v>49747</v>
      </c>
      <c r="L205" t="str">
        <v>951240705-SO CAL GAS</v>
      </c>
      <c r="M205">
        <v>2022</v>
      </c>
      <c r="N205" t="str">
        <v>Individual is enrolled in a COBRA or Retiree plan coverage that was not sent on a current post-enrollment reporting year import</v>
      </c>
      <c r="O205" t="str">
        <v xml:space="preserve"> </v>
      </c>
      <c r="P205" t="str">
        <v xml:space="preserve"> </v>
      </c>
      <c r="Q205" s="2">
        <v>44653</v>
      </c>
      <c r="R205" s="2" t="str">
        <v xml:space="preserve"> </v>
      </c>
      <c r="S205" t="str">
        <v>01/01/2018-12/31/9999</v>
      </c>
      <c r="T205" t="str">
        <v>Anthem Select HMO</v>
      </c>
    </row>
    <row r="206" spans="1:20" x14ac:dyDescent="0.25">
      <c r="A206" s="3">
        <v>34796</v>
      </c>
      <c r="B206">
        <v>548291022</v>
      </c>
      <c r="C206" t="s">
        <v>77</v>
      </c>
      <c r="D206" t="s">
        <v>386</v>
      </c>
      <c r="E206" t="s">
        <v>31</v>
      </c>
      <c r="F206" s="2">
        <v>44013</v>
      </c>
      <c r="H206" t="str" cm="1">
        <f t="array" aca="1" ref="H206" ca="1">CELL("address",_xlfn.XLOOKUP(A206,Sheet1!C:C,Sheet1!C:C))</f>
        <v>[match.xlsx]Sheet1!$C$189</v>
      </c>
      <c r="I206" t="str" cm="1">
        <f t="array" ref="I206:T206">_xlfn.XLOOKUP(A206,Sheet1!C:C,Sheet1!A:L)</f>
        <v>Guerra</v>
      </c>
      <c r="J206" t="str">
        <v>Robert</v>
      </c>
      <c r="K206">
        <v>34796</v>
      </c>
      <c r="L206" t="str">
        <v>951240705-SO CAL GAS</v>
      </c>
      <c r="M206">
        <v>2022</v>
      </c>
      <c r="N206" t="str">
        <v>Individual is enrolled in a COBRA or Retiree plan coverage that was not sent on a current post-enrollment reporting year import</v>
      </c>
      <c r="O206" t="str">
        <v xml:space="preserve"> </v>
      </c>
      <c r="P206" t="str">
        <v xml:space="preserve"> </v>
      </c>
      <c r="Q206" s="2">
        <v>44653</v>
      </c>
      <c r="R206" s="2" t="str">
        <v xml:space="preserve"> </v>
      </c>
      <c r="S206" t="str">
        <v>07/01/2020-12/31/9999</v>
      </c>
      <c r="T206" t="str">
        <v>Anthem California Care HMO</v>
      </c>
    </row>
    <row r="207" spans="1:20" x14ac:dyDescent="0.25">
      <c r="A207" s="3">
        <v>46023</v>
      </c>
      <c r="B207">
        <v>562333784</v>
      </c>
      <c r="C207" t="s">
        <v>373</v>
      </c>
      <c r="D207" t="s">
        <v>372</v>
      </c>
      <c r="E207" t="s">
        <v>71</v>
      </c>
      <c r="F207" s="2">
        <v>43770</v>
      </c>
      <c r="H207" t="str" cm="1">
        <f t="array" aca="1" ref="H207" ca="1">CELL("address",_xlfn.XLOOKUP(A207,Sheet1!C:C,Sheet1!C:C))</f>
        <v>[match.xlsx]Sheet1!$C$180</v>
      </c>
      <c r="I207" t="str" cm="1">
        <f t="array" ref="I207:T207">_xlfn.XLOOKUP(A207,Sheet1!C:C,Sheet1!A:L)</f>
        <v>Gonzales</v>
      </c>
      <c r="J207" t="str">
        <v>Ramon</v>
      </c>
      <c r="K207">
        <v>46023</v>
      </c>
      <c r="L207" t="str">
        <v>951240705-SO CAL GAS</v>
      </c>
      <c r="M207">
        <v>2022</v>
      </c>
      <c r="N207" t="str">
        <v>Individual is enrolled in a COBRA or Retiree plan coverage that was not sent on a current post-enrollment reporting year import</v>
      </c>
      <c r="O207" t="str">
        <v xml:space="preserve"> </v>
      </c>
      <c r="P207" t="str">
        <v xml:space="preserve"> </v>
      </c>
      <c r="Q207" s="2">
        <v>44653</v>
      </c>
      <c r="R207" s="2" t="str">
        <v xml:space="preserve"> </v>
      </c>
      <c r="S207" t="str">
        <v>11/01/2019-12/31/9999</v>
      </c>
      <c r="T207" t="str">
        <v>Anthem Select HMO</v>
      </c>
    </row>
    <row r="208" spans="1:20" x14ac:dyDescent="0.25">
      <c r="A208" s="3">
        <v>97099</v>
      </c>
      <c r="B208">
        <v>554318134</v>
      </c>
      <c r="C208" t="s">
        <v>125</v>
      </c>
      <c r="D208" t="s">
        <v>124</v>
      </c>
      <c r="E208" t="s">
        <v>71</v>
      </c>
      <c r="F208" s="2">
        <v>43739</v>
      </c>
      <c r="H208" t="str" cm="1">
        <f t="array" aca="1" ref="H208" ca="1">CELL("address",_xlfn.XLOOKUP(A208,Sheet1!C:C,Sheet1!C:C))</f>
        <v>[match.xlsx]Sheet1!$C$46</v>
      </c>
      <c r="I208" t="str" cm="1">
        <f t="array" ref="I208:T208">_xlfn.XLOOKUP(A208,Sheet1!C:C,Sheet1!A:L)</f>
        <v>Blaszczynski</v>
      </c>
      <c r="J208" t="str">
        <v>Mary</v>
      </c>
      <c r="K208">
        <v>97099</v>
      </c>
      <c r="L208" t="str">
        <v>951240705-SO CAL GAS</v>
      </c>
      <c r="M208">
        <v>2022</v>
      </c>
      <c r="N208" t="str">
        <v>Individual is enrolled in a COBRA or Retiree plan coverage that was not sent on a current post-enrollment reporting year import</v>
      </c>
      <c r="O208" t="str">
        <v xml:space="preserve"> </v>
      </c>
      <c r="P208" t="str">
        <v xml:space="preserve"> </v>
      </c>
      <c r="Q208" s="2">
        <v>44653</v>
      </c>
      <c r="R208" s="2" t="str">
        <v xml:space="preserve"> </v>
      </c>
      <c r="S208" t="str">
        <v>10/01/2019-12/31/9999</v>
      </c>
      <c r="T208" t="str">
        <v>Anthem Select HMO</v>
      </c>
    </row>
    <row r="209" spans="1:20" x14ac:dyDescent="0.25">
      <c r="A209" s="3">
        <v>87466</v>
      </c>
      <c r="B209">
        <v>554026858</v>
      </c>
      <c r="C209" t="s">
        <v>519</v>
      </c>
      <c r="D209" t="s">
        <v>842</v>
      </c>
      <c r="E209" t="s">
        <v>24</v>
      </c>
      <c r="F209" s="2">
        <v>43344</v>
      </c>
      <c r="H209" t="str" cm="1">
        <f t="array" aca="1" ref="H209" ca="1">CELL("address",_xlfn.XLOOKUP(A209,Sheet1!C:C,Sheet1!C:C))</f>
        <v>[match.xlsx]Sheet1!$C$538</v>
      </c>
      <c r="I209" t="str" cm="1">
        <f t="array" ref="I209:T209">_xlfn.XLOOKUP(A209,Sheet1!C:C,Sheet1!A:L)</f>
        <v>Toombs</v>
      </c>
      <c r="J209" t="str">
        <v>James</v>
      </c>
      <c r="K209">
        <v>87466</v>
      </c>
      <c r="L209" t="str">
        <v>951184800-SAN DIEGO GAS &amp; ELECTRIC</v>
      </c>
      <c r="M209">
        <v>2022</v>
      </c>
      <c r="N209" t="str">
        <v>Individual is enrolled in a COBRA or Retiree plan coverage that was not sent on a current post-enrollment reporting year import</v>
      </c>
      <c r="O209" t="str">
        <v xml:space="preserve"> </v>
      </c>
      <c r="P209" t="str">
        <v xml:space="preserve"> </v>
      </c>
      <c r="Q209" s="2">
        <v>44653</v>
      </c>
      <c r="R209" s="2" t="str">
        <v xml:space="preserve"> </v>
      </c>
      <c r="S209" t="str">
        <v>09/01/2018-12/31/9999</v>
      </c>
      <c r="T209" t="str">
        <v>Anthem Health Care Plus+</v>
      </c>
    </row>
    <row r="210" spans="1:20" x14ac:dyDescent="0.25">
      <c r="A210" s="3">
        <v>4471</v>
      </c>
      <c r="B210">
        <v>297609927</v>
      </c>
      <c r="C210" t="s">
        <v>175</v>
      </c>
      <c r="D210" t="s">
        <v>422</v>
      </c>
      <c r="E210" t="s">
        <v>71</v>
      </c>
      <c r="F210" s="2">
        <v>43922</v>
      </c>
      <c r="H210" t="str" cm="1">
        <f t="array" aca="1" ref="H210" ca="1">CELL("address",_xlfn.XLOOKUP(A210,Sheet1!C:C,Sheet1!C:C))</f>
        <v>[match.xlsx]Sheet1!$C$210</v>
      </c>
      <c r="I210" t="str" cm="1">
        <f t="array" ref="I210:T210">_xlfn.XLOOKUP(A210,Sheet1!C:C,Sheet1!A:L)</f>
        <v>Heister</v>
      </c>
      <c r="J210" t="str">
        <v>Russell</v>
      </c>
      <c r="K210">
        <v>4471</v>
      </c>
      <c r="L210" t="str">
        <v>951184800-SAN DIEGO GAS &amp; ELECTRIC</v>
      </c>
      <c r="M210">
        <v>2022</v>
      </c>
      <c r="N210" t="str">
        <v>Individual is enrolled in a COBRA or Retiree plan coverage that was not sent on a current post-enrollment reporting year import</v>
      </c>
      <c r="O210" t="str">
        <v xml:space="preserve"> </v>
      </c>
      <c r="P210" t="str">
        <v xml:space="preserve"> </v>
      </c>
      <c r="Q210" s="2">
        <v>44653</v>
      </c>
      <c r="R210" s="2" t="str">
        <v xml:space="preserve"> </v>
      </c>
      <c r="S210" t="str">
        <v>04/01/2020-12/31/9999</v>
      </c>
      <c r="T210" t="str">
        <v>Anthem Select HMO</v>
      </c>
    </row>
    <row r="211" spans="1:20" x14ac:dyDescent="0.25">
      <c r="A211" s="3">
        <v>60681</v>
      </c>
      <c r="B211">
        <v>563298450</v>
      </c>
      <c r="C211" t="s">
        <v>1115</v>
      </c>
      <c r="D211" t="s">
        <v>1116</v>
      </c>
      <c r="E211" t="s">
        <v>71</v>
      </c>
      <c r="F211" s="2">
        <v>43101</v>
      </c>
      <c r="H211" t="str" cm="1">
        <f t="array" aca="1" ref="H211" ca="1">CELL("address",_xlfn.XLOOKUP(A211,Sheet1!C:C,Sheet1!C:C))</f>
        <v>[match.xlsx]Sheet1!$C$367</v>
      </c>
      <c r="I211" t="str" cm="1">
        <f t="array" ref="I211:T211">_xlfn.XLOOKUP(A211,Sheet1!C:C,Sheet1!A:L)</f>
        <v>Muffley</v>
      </c>
      <c r="J211" t="str">
        <v>Jeffrey</v>
      </c>
      <c r="K211">
        <v>60681</v>
      </c>
      <c r="L211" t="str">
        <v>951184800-SAN DIEGO GAS &amp; ELECTRIC</v>
      </c>
      <c r="M211">
        <v>2022</v>
      </c>
      <c r="N211" t="str">
        <v>Individual is enrolled in a COBRA or Retiree plan coverage that was not sent on a current post-enrollment reporting year import</v>
      </c>
      <c r="O211" t="str">
        <v xml:space="preserve"> </v>
      </c>
      <c r="P211" t="str">
        <v xml:space="preserve"> </v>
      </c>
      <c r="Q211" s="2">
        <v>44653</v>
      </c>
      <c r="R211" s="2" t="str">
        <v xml:space="preserve"> </v>
      </c>
      <c r="S211" t="str">
        <v>01/01/2018-12/31/9999</v>
      </c>
      <c r="T211" t="str">
        <v>Anthem Select HMO</v>
      </c>
    </row>
    <row r="212" spans="1:20" x14ac:dyDescent="0.25">
      <c r="A212" s="3">
        <v>38781</v>
      </c>
      <c r="B212">
        <v>553316408</v>
      </c>
      <c r="C212" t="s">
        <v>314</v>
      </c>
      <c r="D212" t="s">
        <v>313</v>
      </c>
      <c r="E212" t="s">
        <v>24</v>
      </c>
      <c r="F212" s="2">
        <v>44013</v>
      </c>
      <c r="H212" t="str" cm="1">
        <f t="array" aca="1" ref="H212" ca="1">CELL("address",_xlfn.XLOOKUP(A212,Sheet1!C:C,Sheet1!C:C))</f>
        <v>[match.xlsx]Sheet1!$C$145</v>
      </c>
      <c r="I212" t="str" cm="1">
        <f t="array" ref="I212:T212">_xlfn.XLOOKUP(A212,Sheet1!C:C,Sheet1!A:L)</f>
        <v>Fields</v>
      </c>
      <c r="J212" t="str">
        <v>Ross</v>
      </c>
      <c r="K212">
        <v>38781</v>
      </c>
      <c r="L212" t="str">
        <v>951240705-SO CAL GAS</v>
      </c>
      <c r="M212">
        <v>2022</v>
      </c>
      <c r="N212" t="str">
        <v>Individual is enrolled in a COBRA or Retiree plan coverage that was not sent on a current post-enrollment reporting year import</v>
      </c>
      <c r="O212" t="str">
        <v xml:space="preserve"> </v>
      </c>
      <c r="P212" t="str">
        <v xml:space="preserve"> </v>
      </c>
      <c r="Q212" s="2">
        <v>44653</v>
      </c>
      <c r="R212" s="2" t="str">
        <v xml:space="preserve"> </v>
      </c>
      <c r="S212" t="str">
        <v>07/01/2020-12/31/9999</v>
      </c>
      <c r="T212" t="str">
        <v>Anthem Health Care Plus+</v>
      </c>
    </row>
    <row r="213" spans="1:20" x14ac:dyDescent="0.25">
      <c r="A213" s="3">
        <v>9882</v>
      </c>
      <c r="B213">
        <v>563703205</v>
      </c>
      <c r="C213" t="s">
        <v>1117</v>
      </c>
      <c r="D213" t="s">
        <v>1118</v>
      </c>
      <c r="E213" t="s">
        <v>966</v>
      </c>
      <c r="F213" s="2">
        <v>43739</v>
      </c>
      <c r="H213" t="str" cm="1">
        <f t="array" aca="1" ref="H213" ca="1">CELL("address",_xlfn.XLOOKUP(A213,Sheet1!C:C,Sheet1!C:C))</f>
        <v>[match.xlsx]Sheet1!$C$56</v>
      </c>
      <c r="I213" t="str" cm="1">
        <f t="array" ref="I213:T213">_xlfn.XLOOKUP(A213,Sheet1!C:C,Sheet1!A:L)</f>
        <v>Breed</v>
      </c>
      <c r="J213" t="str">
        <v>Glen</v>
      </c>
      <c r="K213">
        <v>9882</v>
      </c>
      <c r="L213" t="str">
        <v>951184800-SAN DIEGO GAS &amp; ELECTRIC</v>
      </c>
      <c r="M213">
        <v>2022</v>
      </c>
      <c r="N213" t="str">
        <v>Individual is enrolled in a COBRA or Retiree plan coverage that was not sent on a current post-enrollment reporting year import</v>
      </c>
      <c r="O213" t="str">
        <v xml:space="preserve"> </v>
      </c>
      <c r="P213" t="str">
        <v xml:space="preserve"> </v>
      </c>
      <c r="Q213" s="2">
        <v>44653</v>
      </c>
      <c r="R213" s="2" t="str">
        <v xml:space="preserve"> </v>
      </c>
      <c r="S213" t="str">
        <v>01/01/2019-12/31/9999</v>
      </c>
      <c r="T213" t="str">
        <v>Anthem Select HMO</v>
      </c>
    </row>
    <row r="214" spans="1:20" x14ac:dyDescent="0.25">
      <c r="A214" s="3">
        <v>3657</v>
      </c>
      <c r="B214">
        <v>567769264</v>
      </c>
      <c r="C214" t="s">
        <v>74</v>
      </c>
      <c r="D214" t="s">
        <v>72</v>
      </c>
      <c r="E214" t="s">
        <v>24</v>
      </c>
      <c r="F214" s="2">
        <v>43221</v>
      </c>
      <c r="H214" t="str" cm="1">
        <f t="array" aca="1" ref="H214" ca="1">CELL("address",_xlfn.XLOOKUP(A214,Sheet1!C:C,Sheet1!C:C))</f>
        <v>[match.xlsx]Sheet1!$C$23</v>
      </c>
      <c r="I214" t="str" cm="1">
        <f t="array" ref="I214:T214">_xlfn.XLOOKUP(A214,Sheet1!C:C,Sheet1!A:L)</f>
        <v>Baker</v>
      </c>
      <c r="J214" t="str">
        <v>John</v>
      </c>
      <c r="K214">
        <v>3657</v>
      </c>
      <c r="L214" t="str">
        <v>951184800-SAN DIEGO GAS &amp; ELECTRIC</v>
      </c>
      <c r="M214">
        <v>2022</v>
      </c>
      <c r="N214" t="str">
        <v>Individual is enrolled in a COBRA or Retiree plan coverage that was not sent on a current post-enrollment reporting year import</v>
      </c>
      <c r="O214" t="str">
        <v xml:space="preserve"> </v>
      </c>
      <c r="P214" t="str">
        <v xml:space="preserve"> </v>
      </c>
      <c r="Q214" s="2">
        <v>44653</v>
      </c>
      <c r="R214" s="2" t="str">
        <v xml:space="preserve"> </v>
      </c>
      <c r="S214" t="str">
        <v>05/01/2018-12/31/9999</v>
      </c>
      <c r="T214" t="str">
        <v>Anthem Health Care Plus+</v>
      </c>
    </row>
    <row r="215" spans="1:20" x14ac:dyDescent="0.25">
      <c r="A215" s="3">
        <v>4658</v>
      </c>
      <c r="B215">
        <v>511769290</v>
      </c>
      <c r="C215" t="s">
        <v>103</v>
      </c>
      <c r="D215" t="s">
        <v>800</v>
      </c>
      <c r="E215" t="s">
        <v>24</v>
      </c>
      <c r="F215" s="2">
        <v>44013</v>
      </c>
      <c r="H215" t="str" cm="1">
        <f t="array" aca="1" ref="H215" ca="1">CELL("address",_xlfn.XLOOKUP(A215,Sheet1!C:C,Sheet1!C:C))</f>
        <v>[match.xlsx]Sheet1!$C$501</v>
      </c>
      <c r="I215" t="str" cm="1">
        <f t="array" ref="I215:T215">_xlfn.XLOOKUP(A215,Sheet1!C:C,Sheet1!A:L)</f>
        <v>Smith</v>
      </c>
      <c r="J215" t="str">
        <v>Michael</v>
      </c>
      <c r="K215">
        <v>4658</v>
      </c>
      <c r="L215" t="str">
        <v>951184800-SAN DIEGO GAS &amp; ELECTRIC</v>
      </c>
      <c r="M215">
        <v>2022</v>
      </c>
      <c r="N215" t="str">
        <v>Individual is enrolled in a COBRA or Retiree plan coverage that was not sent on a current post-enrollment reporting year import</v>
      </c>
      <c r="O215" t="str">
        <v xml:space="preserve"> </v>
      </c>
      <c r="P215" t="str">
        <v xml:space="preserve"> </v>
      </c>
      <c r="Q215" s="2">
        <v>44653</v>
      </c>
      <c r="R215" s="2" t="str">
        <v xml:space="preserve"> </v>
      </c>
      <c r="S215" t="str">
        <v>07/01/2020-12/31/9999</v>
      </c>
      <c r="T215" t="str">
        <v>Anthem Health Care Plus+</v>
      </c>
    </row>
    <row r="216" spans="1:20" x14ac:dyDescent="0.25">
      <c r="A216" s="3">
        <v>3274</v>
      </c>
      <c r="B216">
        <v>555153393</v>
      </c>
      <c r="C216" t="s">
        <v>1119</v>
      </c>
      <c r="D216" t="s">
        <v>1120</v>
      </c>
      <c r="E216" t="s">
        <v>71</v>
      </c>
      <c r="F216" s="2">
        <v>43466</v>
      </c>
      <c r="H216" t="str" cm="1">
        <f t="array" aca="1" ref="H216" ca="1">CELL("address",_xlfn.XLOOKUP(A216,Sheet1!C:C,Sheet1!C:C))</f>
        <v>[match.xlsx]Sheet1!$C$21</v>
      </c>
      <c r="I216" t="str" cm="1">
        <f t="array" ref="I216:T216">_xlfn.XLOOKUP(A216,Sheet1!C:C,Sheet1!A:L)</f>
        <v>Bailey</v>
      </c>
      <c r="J216" t="str">
        <v>Bonnie</v>
      </c>
      <c r="K216">
        <v>3274</v>
      </c>
      <c r="L216" t="str">
        <v>951184800-SAN DIEGO GAS &amp; ELECTRIC</v>
      </c>
      <c r="M216">
        <v>2022</v>
      </c>
      <c r="N216" t="str">
        <v>Individual is enrolled in a COBRA or Retiree plan coverage that was not sent on a current post-enrollment reporting year import</v>
      </c>
      <c r="O216" t="str">
        <v xml:space="preserve"> </v>
      </c>
      <c r="P216" t="str">
        <v xml:space="preserve"> </v>
      </c>
      <c r="Q216" s="2">
        <v>44653</v>
      </c>
      <c r="R216" s="2" t="str">
        <v xml:space="preserve"> </v>
      </c>
      <c r="S216" t="str">
        <v>01/01/2019-12/31/9999</v>
      </c>
      <c r="T216" t="str">
        <v>Anthem Select HMO</v>
      </c>
    </row>
    <row r="217" spans="1:20" x14ac:dyDescent="0.25">
      <c r="A217" s="3">
        <v>26568</v>
      </c>
      <c r="B217">
        <v>222440780</v>
      </c>
      <c r="C217" t="s">
        <v>436</v>
      </c>
      <c r="D217" t="s">
        <v>435</v>
      </c>
      <c r="E217" t="s">
        <v>71</v>
      </c>
      <c r="F217" s="2">
        <v>43435</v>
      </c>
      <c r="H217" t="str" cm="1">
        <f t="array" aca="1" ref="H217" ca="1">CELL("address",_xlfn.XLOOKUP(A217,Sheet1!C:C,Sheet1!C:C))</f>
        <v>[match.xlsx]Sheet1!$C$220</v>
      </c>
      <c r="I217" t="str" cm="1">
        <f t="array" ref="I217:T217">_xlfn.XLOOKUP(A217,Sheet1!C:C,Sheet1!A:L)</f>
        <v>Herrman</v>
      </c>
      <c r="J217" t="str">
        <v>Wayne</v>
      </c>
      <c r="K217">
        <v>26568</v>
      </c>
      <c r="L217" t="str">
        <v>951240705-SO CAL GAS</v>
      </c>
      <c r="M217">
        <v>2022</v>
      </c>
      <c r="N217" t="str">
        <v>Individual is enrolled in a COBRA or Retiree plan coverage that was not sent on a current post-enrollment reporting year import</v>
      </c>
      <c r="O217" t="str">
        <v xml:space="preserve"> </v>
      </c>
      <c r="P217" t="str">
        <v xml:space="preserve"> </v>
      </c>
      <c r="Q217" s="2">
        <v>44653</v>
      </c>
      <c r="R217" s="2" t="str">
        <v xml:space="preserve"> </v>
      </c>
      <c r="S217" t="str">
        <v>12/01/2018-12/31/9999</v>
      </c>
      <c r="T217" t="str">
        <v>Anthem Select HMO</v>
      </c>
    </row>
    <row r="218" spans="1:20" x14ac:dyDescent="0.25">
      <c r="A218" s="3">
        <v>37558</v>
      </c>
      <c r="B218">
        <v>551572771</v>
      </c>
      <c r="C218" t="s">
        <v>1121</v>
      </c>
      <c r="D218" t="s">
        <v>1009</v>
      </c>
      <c r="E218" t="s">
        <v>46</v>
      </c>
      <c r="F218" s="2">
        <v>43101</v>
      </c>
      <c r="H218" t="str" cm="1">
        <f t="array" aca="1" ref="H218" ca="1">CELL("address",_xlfn.XLOOKUP(A218,Sheet1!C:C,Sheet1!C:C))</f>
        <v>[match.xlsx]Sheet1!$C$12</v>
      </c>
      <c r="I218" t="str" cm="1">
        <f t="array" ref="I218:T218">_xlfn.XLOOKUP(A218,Sheet1!C:C,Sheet1!A:L)</f>
        <v>Anderson</v>
      </c>
      <c r="J218" t="str">
        <v>Terri</v>
      </c>
      <c r="K218">
        <v>37558</v>
      </c>
      <c r="L218" t="str">
        <v>951240705-SO CAL GAS</v>
      </c>
      <c r="M218">
        <v>2022</v>
      </c>
      <c r="N218" t="str">
        <v>Individual is enrolled in a COBRA or Retiree plan coverage that was not sent on a current post-enrollment reporting year import</v>
      </c>
      <c r="O218" t="str">
        <v xml:space="preserve"> </v>
      </c>
      <c r="P218" t="str">
        <v xml:space="preserve"> </v>
      </c>
      <c r="Q218" s="2">
        <v>44653</v>
      </c>
      <c r="R218" s="2" t="str">
        <v xml:space="preserve"> </v>
      </c>
      <c r="S218" t="str">
        <v>01/01/2018-12/31/9999</v>
      </c>
      <c r="T218" t="str">
        <v>Anthem PPO Out-of-CA</v>
      </c>
    </row>
    <row r="219" spans="1:20" x14ac:dyDescent="0.25">
      <c r="A219" s="3">
        <v>97367</v>
      </c>
      <c r="B219">
        <v>573191658</v>
      </c>
      <c r="C219" t="s">
        <v>407</v>
      </c>
      <c r="D219" t="s">
        <v>622</v>
      </c>
      <c r="E219" t="s">
        <v>71</v>
      </c>
      <c r="F219" s="2">
        <v>43344</v>
      </c>
      <c r="H219" t="str" cm="1">
        <f t="array" aca="1" ref="H219" ca="1">CELL("address",_xlfn.XLOOKUP(A219,Sheet1!C:C,Sheet1!C:C))</f>
        <v>[match.xlsx]Sheet1!$C$353</v>
      </c>
      <c r="I219" t="str" cm="1">
        <f t="array" ref="I219:T219">_xlfn.XLOOKUP(A219,Sheet1!C:C,Sheet1!A:L)</f>
        <v>Mikovits</v>
      </c>
      <c r="J219" t="str">
        <v>Stephen</v>
      </c>
      <c r="K219">
        <v>97367</v>
      </c>
      <c r="L219" t="str">
        <v>951184800-SAN DIEGO GAS &amp; ELECTRIC</v>
      </c>
      <c r="M219">
        <v>2022</v>
      </c>
      <c r="N219" t="str">
        <v>Individual is enrolled in a COBRA or Retiree plan coverage that was not sent on a current post-enrollment reporting year import</v>
      </c>
      <c r="O219" t="str">
        <v xml:space="preserve"> </v>
      </c>
      <c r="P219" t="str">
        <v xml:space="preserve"> </v>
      </c>
      <c r="Q219" s="2">
        <v>44653</v>
      </c>
      <c r="R219" s="2" t="str">
        <v xml:space="preserve"> </v>
      </c>
      <c r="S219" t="str">
        <v>09/01/2018-12/31/9999</v>
      </c>
      <c r="T219" t="str">
        <v>Anthem Select HMO</v>
      </c>
    </row>
    <row r="220" spans="1:20" x14ac:dyDescent="0.25">
      <c r="A220" s="3">
        <v>718</v>
      </c>
      <c r="B220">
        <v>372706456</v>
      </c>
      <c r="C220" t="s">
        <v>484</v>
      </c>
      <c r="D220" t="s">
        <v>483</v>
      </c>
      <c r="E220" t="s">
        <v>24</v>
      </c>
      <c r="F220" s="2">
        <v>43466</v>
      </c>
      <c r="H220" t="str" cm="1">
        <f t="array" aca="1" ref="H220" ca="1">CELL("address",_xlfn.XLOOKUP(A220,Sheet1!C:C,Sheet1!C:C))</f>
        <v>[match.xlsx]Sheet1!$C$255</v>
      </c>
      <c r="I220" t="str" cm="1">
        <f t="array" ref="I220:T220">_xlfn.XLOOKUP(A220,Sheet1!C:C,Sheet1!A:L)</f>
        <v>Kaufman</v>
      </c>
      <c r="J220" t="str">
        <v>Kurt</v>
      </c>
      <c r="K220">
        <v>718</v>
      </c>
      <c r="L220" t="str">
        <v>951184800-SAN DIEGO GAS &amp; ELECTRIC</v>
      </c>
      <c r="M220">
        <v>2022</v>
      </c>
      <c r="N220" t="str">
        <v>Individual is enrolled in a COBRA or Retiree plan coverage that was not sent on a current post-enrollment reporting year import</v>
      </c>
      <c r="O220" t="str">
        <v xml:space="preserve"> </v>
      </c>
      <c r="P220" t="str">
        <v xml:space="preserve"> </v>
      </c>
      <c r="Q220" s="2">
        <v>44653</v>
      </c>
      <c r="R220" s="2" t="str">
        <v xml:space="preserve"> </v>
      </c>
      <c r="S220" t="str">
        <v>01/01/2019-12/31/9999</v>
      </c>
      <c r="T220" t="str">
        <v>Anthem Health Care Plus+</v>
      </c>
    </row>
    <row r="221" spans="1:20" x14ac:dyDescent="0.25">
      <c r="A221" s="3">
        <v>63570</v>
      </c>
      <c r="B221">
        <v>565923748</v>
      </c>
      <c r="C221" t="s">
        <v>1122</v>
      </c>
      <c r="D221" t="s">
        <v>986</v>
      </c>
      <c r="E221" t="s">
        <v>966</v>
      </c>
      <c r="F221" s="2">
        <v>43556</v>
      </c>
      <c r="H221" t="str" cm="1">
        <f t="array" aca="1" ref="H221" ca="1">CELL("address",_xlfn.XLOOKUP(A221,Sheet1!C:C,Sheet1!C:C))</f>
        <v>[match.xlsx]Sheet1!$C$397</v>
      </c>
      <c r="I221" t="str" cm="1">
        <f t="array" ref="I221:T221">_xlfn.XLOOKUP(A221,Sheet1!C:C,Sheet1!A:L)</f>
        <v>Oliver</v>
      </c>
      <c r="J221" t="str">
        <v>Pinkie</v>
      </c>
      <c r="K221">
        <v>63570</v>
      </c>
      <c r="L221" t="str">
        <v>951184800-SAN DIEGO GAS &amp; ELECTRIC</v>
      </c>
      <c r="M221">
        <v>2022</v>
      </c>
      <c r="N221" t="str">
        <v>Individual is enrolled in a COBRA or Retiree plan coverage that was not sent on a current post-enrollment reporting year import</v>
      </c>
      <c r="O221" t="str">
        <v xml:space="preserve"> </v>
      </c>
      <c r="P221" t="str">
        <v xml:space="preserve"> </v>
      </c>
      <c r="Q221" s="2">
        <v>44653</v>
      </c>
      <c r="R221" s="2" t="str">
        <v xml:space="preserve"> </v>
      </c>
      <c r="S221" t="str">
        <v>01/01/2019-12/31/9999</v>
      </c>
      <c r="T221" t="str">
        <v>Anthem Select HMO</v>
      </c>
    </row>
    <row r="222" spans="1:20" x14ac:dyDescent="0.25">
      <c r="A222" s="3">
        <v>97636</v>
      </c>
      <c r="B222">
        <v>561374170</v>
      </c>
      <c r="C222" t="s">
        <v>804</v>
      </c>
      <c r="D222" t="s">
        <v>803</v>
      </c>
      <c r="E222" t="s">
        <v>24</v>
      </c>
      <c r="F222" s="2">
        <v>43466</v>
      </c>
      <c r="H222" t="str" cm="1">
        <f t="array" aca="1" ref="H222" ca="1">CELL("address",_xlfn.XLOOKUP(A222,Sheet1!C:C,Sheet1!C:C))</f>
        <v>[match.xlsx]Sheet1!$C$505</v>
      </c>
      <c r="I222" t="str" cm="1">
        <f t="array" ref="I222:T222">_xlfn.XLOOKUP(A222,Sheet1!C:C,Sheet1!A:L)</f>
        <v>Snyder</v>
      </c>
      <c r="J222" t="str">
        <v>Hal</v>
      </c>
      <c r="K222">
        <v>97636</v>
      </c>
      <c r="L222" t="str">
        <v>951240705-SO CAL GAS</v>
      </c>
      <c r="M222">
        <v>2022</v>
      </c>
      <c r="N222" t="str">
        <v>Individual is enrolled in a COBRA or Retiree plan coverage that was not sent on a current post-enrollment reporting year import</v>
      </c>
      <c r="O222" t="str">
        <v xml:space="preserve"> </v>
      </c>
      <c r="P222" t="str">
        <v xml:space="preserve"> </v>
      </c>
      <c r="Q222" s="2">
        <v>44653</v>
      </c>
      <c r="R222" s="2" t="str">
        <v xml:space="preserve"> </v>
      </c>
      <c r="S222" t="str">
        <v>01/01/2019-12/31/9999</v>
      </c>
      <c r="T222" t="str">
        <v>Anthem Health Care Plus+</v>
      </c>
    </row>
    <row r="223" spans="1:20" x14ac:dyDescent="0.25">
      <c r="A223" s="3">
        <v>75750</v>
      </c>
      <c r="B223">
        <v>557945888</v>
      </c>
      <c r="C223" t="s">
        <v>508</v>
      </c>
      <c r="D223" t="s">
        <v>773</v>
      </c>
      <c r="E223" t="s">
        <v>969</v>
      </c>
      <c r="F223" s="2">
        <v>44075</v>
      </c>
      <c r="H223" t="str" cm="1">
        <f t="array" aca="1" ref="H223" ca="1">CELL("address",_xlfn.XLOOKUP(A223,Sheet1!C:C,Sheet1!C:C))</f>
        <v>[match.xlsx]Sheet1!$C$476</v>
      </c>
      <c r="I223" t="str" cm="1">
        <f t="array" ref="I223:T223">_xlfn.XLOOKUP(A223,Sheet1!C:C,Sheet1!A:L)</f>
        <v>Schavrien</v>
      </c>
      <c r="J223" t="str">
        <v>Lee</v>
      </c>
      <c r="K223">
        <v>75750</v>
      </c>
      <c r="L223" t="str">
        <v>951184800-SAN DIEGO GAS &amp; ELECTRIC</v>
      </c>
      <c r="M223">
        <v>2022</v>
      </c>
      <c r="N223" t="str">
        <v>Individual is enrolled in a COBRA or Retiree plan coverage that was not sent on a current post-enrollment reporting year import</v>
      </c>
      <c r="O223" t="str">
        <v xml:space="preserve"> </v>
      </c>
      <c r="P223" t="str">
        <v xml:space="preserve"> </v>
      </c>
      <c r="Q223" s="2">
        <v>44653</v>
      </c>
      <c r="R223" s="2" t="str">
        <v xml:space="preserve"> </v>
      </c>
      <c r="S223" t="str">
        <v>01/01/2019-12/31/9999</v>
      </c>
      <c r="T223" t="str">
        <v>Anthem Health Care Plus+</v>
      </c>
    </row>
    <row r="224" spans="1:20" x14ac:dyDescent="0.25">
      <c r="A224" s="3">
        <v>52763</v>
      </c>
      <c r="B224">
        <v>571190413</v>
      </c>
      <c r="C224" t="s">
        <v>1123</v>
      </c>
      <c r="D224" t="s">
        <v>1124</v>
      </c>
      <c r="E224" t="s">
        <v>24</v>
      </c>
      <c r="F224" s="2">
        <v>43101</v>
      </c>
      <c r="H224" t="str" cm="1">
        <f t="array" aca="1" ref="H224" ca="1">CELL("address",_xlfn.XLOOKUP(A224,Sheet1!C:C,Sheet1!C:C))</f>
        <v>[match.xlsx]Sheet1!$C$559</v>
      </c>
      <c r="I224" t="str" cm="1">
        <f t="array" ref="I224:T224">_xlfn.XLOOKUP(A224,Sheet1!C:C,Sheet1!A:L)</f>
        <v>Villarreal</v>
      </c>
      <c r="J224" t="str">
        <v>Lilia</v>
      </c>
      <c r="K224">
        <v>52763</v>
      </c>
      <c r="L224" t="str">
        <v>951240705-SO CAL GAS</v>
      </c>
      <c r="M224">
        <v>2022</v>
      </c>
      <c r="N224" t="str">
        <v>Individual is enrolled in a COBRA or Retiree plan coverage that was not sent on a current post-enrollment reporting year import</v>
      </c>
      <c r="O224" t="str">
        <v xml:space="preserve"> </v>
      </c>
      <c r="P224" t="str">
        <v xml:space="preserve"> </v>
      </c>
      <c r="Q224" s="2">
        <v>44653</v>
      </c>
      <c r="R224" s="2" t="str">
        <v xml:space="preserve"> </v>
      </c>
      <c r="S224" t="str">
        <v>01/01/2018-12/31/9999</v>
      </c>
      <c r="T224" t="str">
        <v>Anthem Health Care Plus+</v>
      </c>
    </row>
    <row r="225" spans="1:20" x14ac:dyDescent="0.25">
      <c r="A225" s="3">
        <v>52852</v>
      </c>
      <c r="B225">
        <v>571278358</v>
      </c>
      <c r="C225" t="s">
        <v>1125</v>
      </c>
      <c r="D225" t="s">
        <v>946</v>
      </c>
      <c r="E225" t="s">
        <v>31</v>
      </c>
      <c r="F225" s="2">
        <v>43101</v>
      </c>
      <c r="H225" t="str" cm="1">
        <f t="array" aca="1" ref="H225" ca="1">CELL("address",_xlfn.XLOOKUP(A225,Sheet1!C:C,Sheet1!C:C))</f>
        <v>[match.xlsx]Sheet1!$C$487</v>
      </c>
      <c r="I225" t="str" cm="1">
        <f t="array" ref="I225:T225">_xlfn.XLOOKUP(A225,Sheet1!C:C,Sheet1!A:L)</f>
        <v>Sena</v>
      </c>
      <c r="J225" t="str">
        <v>Edward</v>
      </c>
      <c r="K225">
        <v>52852</v>
      </c>
      <c r="L225" t="str">
        <v>951240705-SO CAL GAS</v>
      </c>
      <c r="M225">
        <v>2022</v>
      </c>
      <c r="N225" t="str">
        <v>Individual is enrolled in a COBRA or Retiree plan coverage that was not sent on a current post-enrollment reporting year import</v>
      </c>
      <c r="O225" t="str">
        <v xml:space="preserve"> </v>
      </c>
      <c r="P225" t="str">
        <v xml:space="preserve"> </v>
      </c>
      <c r="Q225" s="2">
        <v>44653</v>
      </c>
      <c r="R225" s="2" t="str">
        <v xml:space="preserve"> </v>
      </c>
      <c r="S225" t="str">
        <v>01/01/2018-12/31/9999</v>
      </c>
      <c r="T225" t="str">
        <v>Anthem California Care HMO</v>
      </c>
    </row>
    <row r="226" spans="1:20" x14ac:dyDescent="0.25">
      <c r="A226" s="3">
        <v>1316</v>
      </c>
      <c r="B226">
        <v>538256494</v>
      </c>
      <c r="C226" t="s">
        <v>1126</v>
      </c>
      <c r="D226" t="s">
        <v>1127</v>
      </c>
      <c r="E226" t="s">
        <v>24</v>
      </c>
      <c r="F226" s="2">
        <v>43831</v>
      </c>
      <c r="H226" t="str" cm="1">
        <f t="array" aca="1" ref="H226" ca="1">CELL("address",_xlfn.XLOOKUP(A226,Sheet1!C:C,Sheet1!C:C))</f>
        <v>[match.xlsx]Sheet1!$C$228</v>
      </c>
      <c r="I226" t="str" cm="1">
        <f t="array" ref="I226:T226">_xlfn.XLOOKUP(A226,Sheet1!C:C,Sheet1!A:L)</f>
        <v>Hooey</v>
      </c>
      <c r="J226" t="str">
        <v>Dean</v>
      </c>
      <c r="K226">
        <v>1316</v>
      </c>
      <c r="L226" t="str">
        <v>951184800-SAN DIEGO GAS &amp; ELECTRIC</v>
      </c>
      <c r="M226">
        <v>2022</v>
      </c>
      <c r="N226" t="str">
        <v>Individual is enrolled in a COBRA or Retiree plan coverage that was not sent on a current post-enrollment reporting year import</v>
      </c>
      <c r="O226" t="str">
        <v xml:space="preserve"> </v>
      </c>
      <c r="P226" t="str">
        <v xml:space="preserve"> </v>
      </c>
      <c r="Q226" s="2">
        <v>44653</v>
      </c>
      <c r="R226" s="2" t="str">
        <v xml:space="preserve"> </v>
      </c>
      <c r="S226" t="str">
        <v>01/01/2020-12/31/9999</v>
      </c>
      <c r="T226" t="str">
        <v>Anthem Health Care Plus+</v>
      </c>
    </row>
    <row r="227" spans="1:20" x14ac:dyDescent="0.25">
      <c r="A227" s="3">
        <v>99656</v>
      </c>
      <c r="B227">
        <v>54622309</v>
      </c>
      <c r="C227" t="s">
        <v>1128</v>
      </c>
      <c r="D227" t="s">
        <v>1129</v>
      </c>
      <c r="E227" t="s">
        <v>24</v>
      </c>
      <c r="F227" s="2">
        <v>43282</v>
      </c>
      <c r="H227" t="str" cm="1">
        <f t="array" aca="1" ref="H227" ca="1">CELL("address",_xlfn.XLOOKUP(A227,Sheet1!C:C,Sheet1!C:C))</f>
        <v>[match.xlsx]Sheet1!$C$558</v>
      </c>
      <c r="I227" t="str" cm="1">
        <f t="array" ref="I227:T227">_xlfn.XLOOKUP(A227,Sheet1!C:C,Sheet1!A:L)</f>
        <v>Verry</v>
      </c>
      <c r="J227" t="str">
        <v>Diane</v>
      </c>
      <c r="K227">
        <v>99656</v>
      </c>
      <c r="L227" t="str">
        <v>474996138-SEMPRA LNG &amp; MIDSTREAM LLC</v>
      </c>
      <c r="M227">
        <v>2022</v>
      </c>
      <c r="N227" t="str">
        <v>Individual is enrolled in a COBRA or Retiree plan coverage that was not sent on a current post-enrollment reporting year import</v>
      </c>
      <c r="O227" t="str">
        <v xml:space="preserve"> </v>
      </c>
      <c r="P227" t="str">
        <v xml:space="preserve"> </v>
      </c>
      <c r="Q227" s="2">
        <v>44653</v>
      </c>
      <c r="R227" s="2" t="str">
        <v xml:space="preserve"> </v>
      </c>
      <c r="S227" t="str">
        <v>07/01/2018-12/31/9999</v>
      </c>
      <c r="T227" t="str">
        <v>Anthem Health Care Plus+</v>
      </c>
    </row>
    <row r="228" spans="1:20" x14ac:dyDescent="0.25">
      <c r="A228" s="3">
        <v>97066</v>
      </c>
      <c r="B228">
        <v>507021383</v>
      </c>
      <c r="C228" t="s">
        <v>650</v>
      </c>
      <c r="D228" t="s">
        <v>649</v>
      </c>
      <c r="E228" t="s">
        <v>954</v>
      </c>
      <c r="F228" s="2">
        <v>43525</v>
      </c>
      <c r="H228" t="str" cm="1">
        <f t="array" aca="1" ref="H228" ca="1">CELL("address",_xlfn.XLOOKUP(A228,Sheet1!C:C,Sheet1!C:C))</f>
        <v>[match.xlsx]Sheet1!$C$374</v>
      </c>
      <c r="I228" t="str" cm="1">
        <f t="array" ref="I228:T228">_xlfn.XLOOKUP(A228,Sheet1!C:C,Sheet1!A:L)</f>
        <v>Naderi</v>
      </c>
      <c r="J228" t="str">
        <v>Hamid</v>
      </c>
      <c r="K228">
        <v>97066</v>
      </c>
      <c r="L228" t="str">
        <v>951240705-SO CAL GAS</v>
      </c>
      <c r="M228">
        <v>2022</v>
      </c>
      <c r="N228" t="str">
        <v>Individual is enrolled in a COBRA or Retiree plan coverage that was not sent on a current post-enrollment reporting year import</v>
      </c>
      <c r="O228" t="str">
        <v xml:space="preserve"> </v>
      </c>
      <c r="P228" t="str">
        <v xml:space="preserve"> </v>
      </c>
      <c r="Q228" s="2">
        <v>44653</v>
      </c>
      <c r="R228" s="2" t="str">
        <v xml:space="preserve"> </v>
      </c>
      <c r="S228" t="str">
        <v>01/01/2019-12/31/9999</v>
      </c>
      <c r="T228" t="str">
        <v>Anthem Health Care Plus+</v>
      </c>
    </row>
    <row r="229" spans="1:20" x14ac:dyDescent="0.25">
      <c r="A229" s="3">
        <v>49410</v>
      </c>
      <c r="B229">
        <v>354482577</v>
      </c>
      <c r="C229" t="s">
        <v>945</v>
      </c>
      <c r="D229" t="s">
        <v>1130</v>
      </c>
      <c r="E229" t="s">
        <v>954</v>
      </c>
      <c r="F229" s="2">
        <v>43374</v>
      </c>
      <c r="H229" t="str" cm="1">
        <f t="array" aca="1" ref="H229" ca="1">CELL("address",_xlfn.XLOOKUP(A229,Sheet1!C:C,Sheet1!C:C))</f>
        <v>[match.xlsx]Sheet1!$C$281</v>
      </c>
      <c r="I229" t="str" cm="1">
        <f t="array" ref="I229:T229">_xlfn.XLOOKUP(A229,Sheet1!C:C,Sheet1!A:L)</f>
        <v>Larson</v>
      </c>
      <c r="J229" t="str">
        <v>Arthur</v>
      </c>
      <c r="K229">
        <v>49410</v>
      </c>
      <c r="L229" t="str">
        <v>330732627-SEMPRA ENERGY</v>
      </c>
      <c r="M229">
        <v>2022</v>
      </c>
      <c r="N229" t="str">
        <v>Individual is enrolled in a COBRA or Retiree plan coverage that was not sent on a current post-enrollment reporting year import</v>
      </c>
      <c r="O229" t="str">
        <v xml:space="preserve"> </v>
      </c>
      <c r="P229" t="str">
        <v xml:space="preserve"> </v>
      </c>
      <c r="Q229" s="2">
        <v>44653</v>
      </c>
      <c r="R229" s="2" t="str">
        <v xml:space="preserve"> </v>
      </c>
      <c r="S229" t="str">
        <v>01/01/2018-12/31/9999</v>
      </c>
      <c r="T229" t="str">
        <v>Anthem Select HMO</v>
      </c>
    </row>
    <row r="230" spans="1:20" x14ac:dyDescent="0.25">
      <c r="A230" s="3">
        <v>35656</v>
      </c>
      <c r="B230">
        <v>549253412</v>
      </c>
      <c r="C230" t="s">
        <v>238</v>
      </c>
      <c r="D230" t="s">
        <v>237</v>
      </c>
      <c r="E230" t="s">
        <v>24</v>
      </c>
      <c r="F230" s="2">
        <v>43922</v>
      </c>
      <c r="H230" t="str" cm="1">
        <f t="array" aca="1" ref="H230" ca="1">CELL("address",_xlfn.XLOOKUP(A230,Sheet1!C:C,Sheet1!C:C))</f>
        <v>[match.xlsx]Sheet1!$C$102</v>
      </c>
      <c r="I230" t="str" cm="1">
        <f t="array" ref="I230:T230">_xlfn.XLOOKUP(A230,Sheet1!C:C,Sheet1!A:L)</f>
        <v>Cullen</v>
      </c>
      <c r="J230" t="str">
        <v>Rexford</v>
      </c>
      <c r="K230">
        <v>35656</v>
      </c>
      <c r="L230" t="str">
        <v>951240705-SO CAL GAS</v>
      </c>
      <c r="M230">
        <v>2022</v>
      </c>
      <c r="N230" t="str">
        <v>Individual is enrolled in a COBRA or Retiree plan coverage that was not sent on a current post-enrollment reporting year import</v>
      </c>
      <c r="O230" t="str">
        <v xml:space="preserve"> </v>
      </c>
      <c r="P230" t="str">
        <v xml:space="preserve"> </v>
      </c>
      <c r="Q230" s="2">
        <v>44653</v>
      </c>
      <c r="R230" s="2" t="str">
        <v xml:space="preserve"> </v>
      </c>
      <c r="S230" t="str">
        <v>04/01/2020-12/31/9999</v>
      </c>
      <c r="T230" t="str">
        <v>Anthem Health Care Plus+</v>
      </c>
    </row>
    <row r="231" spans="1:20" x14ac:dyDescent="0.25">
      <c r="A231" s="3">
        <v>49547</v>
      </c>
      <c r="B231">
        <v>567047260</v>
      </c>
      <c r="C231" t="s">
        <v>1061</v>
      </c>
      <c r="D231" t="s">
        <v>1131</v>
      </c>
      <c r="E231" t="s">
        <v>969</v>
      </c>
      <c r="F231" s="2">
        <v>44501</v>
      </c>
      <c r="H231" t="str" cm="1">
        <f t="array" aca="1" ref="H231" ca="1">CELL("address",_xlfn.XLOOKUP(A231,Sheet1!C:C,Sheet1!C:C))</f>
        <v>[match.xlsx]Sheet1!$C$24</v>
      </c>
      <c r="I231" t="str" cm="1">
        <f t="array" ref="I231:T231">_xlfn.XLOOKUP(A231,Sheet1!C:C,Sheet1!A:L)</f>
        <v>Baker</v>
      </c>
      <c r="J231" t="str">
        <v>Phillip</v>
      </c>
      <c r="K231">
        <v>49547</v>
      </c>
      <c r="L231" t="str">
        <v>951240705-SO CAL GAS</v>
      </c>
      <c r="M231">
        <v>2022</v>
      </c>
      <c r="N231" t="str">
        <v>Individual is enrolled in a COBRA or Retiree plan coverage that was not sent on a current post-enrollment reporting year import</v>
      </c>
      <c r="O231" t="str">
        <v xml:space="preserve"> </v>
      </c>
      <c r="P231" t="str">
        <v xml:space="preserve"> </v>
      </c>
      <c r="Q231" s="2">
        <v>44653</v>
      </c>
      <c r="R231" s="2" t="str">
        <v xml:space="preserve"> </v>
      </c>
      <c r="S231" t="str">
        <v>04/01/2018-12/31/9999</v>
      </c>
      <c r="T231" t="str">
        <v>Anthem Health Care Plus+</v>
      </c>
    </row>
    <row r="232" spans="1:20" x14ac:dyDescent="0.25">
      <c r="A232" s="3">
        <v>18633</v>
      </c>
      <c r="B232">
        <v>207445052</v>
      </c>
      <c r="C232" t="s">
        <v>905</v>
      </c>
      <c r="D232" t="s">
        <v>904</v>
      </c>
      <c r="E232" t="s">
        <v>71</v>
      </c>
      <c r="F232" s="2">
        <v>44013</v>
      </c>
      <c r="H232" t="str" cm="1">
        <f t="array" aca="1" ref="H232" ca="1">CELL("address",_xlfn.XLOOKUP(A232,Sheet1!C:C,Sheet1!C:C))</f>
        <v>[match.xlsx]Sheet1!$C$580</v>
      </c>
      <c r="I232" t="str" cm="1">
        <f t="array" ref="I232:T232">_xlfn.XLOOKUP(A232,Sheet1!C:C,Sheet1!A:L)</f>
        <v>Witmer</v>
      </c>
      <c r="J232" t="str">
        <v>Mary Ann</v>
      </c>
      <c r="K232">
        <v>18633</v>
      </c>
      <c r="L232" t="str">
        <v>330732627-SEMPRA ENERGY</v>
      </c>
      <c r="M232">
        <v>2022</v>
      </c>
      <c r="N232" t="str">
        <v>Individual is enrolled in a COBRA or Retiree plan coverage that was not sent on a current post-enrollment reporting year import</v>
      </c>
      <c r="O232" t="str">
        <v xml:space="preserve"> </v>
      </c>
      <c r="P232" t="str">
        <v xml:space="preserve"> </v>
      </c>
      <c r="Q232" s="2">
        <v>44653</v>
      </c>
      <c r="R232" s="2" t="str">
        <v xml:space="preserve"> </v>
      </c>
      <c r="S232" t="str">
        <v>07/01/2020-12/31/9999</v>
      </c>
      <c r="T232" t="str">
        <v>Anthem Select HMO</v>
      </c>
    </row>
    <row r="233" spans="1:20" x14ac:dyDescent="0.25">
      <c r="A233" s="3">
        <v>224</v>
      </c>
      <c r="B233">
        <v>585961007</v>
      </c>
      <c r="C233" t="s">
        <v>139</v>
      </c>
      <c r="D233" t="s">
        <v>138</v>
      </c>
      <c r="E233" t="s">
        <v>24</v>
      </c>
      <c r="F233" s="2">
        <v>44013</v>
      </c>
      <c r="H233" t="str" cm="1">
        <f t="array" aca="1" ref="H233" ca="1">CELL("address",_xlfn.XLOOKUP(A233,Sheet1!C:C,Sheet1!C:C))</f>
        <v>[match.xlsx]Sheet1!$C$52</v>
      </c>
      <c r="I233" t="str" cm="1">
        <f t="array" ref="I233:T233">_xlfn.XLOOKUP(A233,Sheet1!C:C,Sheet1!A:L)</f>
        <v>Bosley</v>
      </c>
      <c r="J233" t="str">
        <v>Lorrietta</v>
      </c>
      <c r="K233">
        <v>224</v>
      </c>
      <c r="L233" t="str">
        <v>951184800-SAN DIEGO GAS &amp; ELECTRIC</v>
      </c>
      <c r="M233">
        <v>2022</v>
      </c>
      <c r="N233" t="str">
        <v>Individual is enrolled in a COBRA or Retiree plan coverage that was not sent on a current post-enrollment reporting year import</v>
      </c>
      <c r="O233" t="str">
        <v xml:space="preserve"> </v>
      </c>
      <c r="P233" t="str">
        <v xml:space="preserve"> </v>
      </c>
      <c r="Q233" s="2">
        <v>44653</v>
      </c>
      <c r="R233" s="2" t="str">
        <v xml:space="preserve"> </v>
      </c>
      <c r="S233" t="str">
        <v>07/01/2020-12/31/9999</v>
      </c>
      <c r="T233" t="str">
        <v>Anthem Health Care Plus+</v>
      </c>
    </row>
    <row r="234" spans="1:20" x14ac:dyDescent="0.25">
      <c r="A234" s="3">
        <v>97227</v>
      </c>
      <c r="B234">
        <v>548063357</v>
      </c>
      <c r="C234" t="s">
        <v>1030</v>
      </c>
      <c r="D234" t="s">
        <v>1132</v>
      </c>
      <c r="E234" t="s">
        <v>936</v>
      </c>
      <c r="F234" s="2">
        <v>44197</v>
      </c>
      <c r="H234" t="str" cm="1">
        <f t="array" aca="1" ref="H234" ca="1">CELL("address",_xlfn.XLOOKUP(A234,Sheet1!C:C,Sheet1!C:C))</f>
        <v>[match.xlsx]Sheet1!$C$390</v>
      </c>
      <c r="I234" t="str" cm="1">
        <f t="array" ref="I234:T234">_xlfn.XLOOKUP(A234,Sheet1!C:C,Sheet1!A:L)</f>
        <v>O&amp;apos;Donnell</v>
      </c>
      <c r="J234" t="str">
        <v>John</v>
      </c>
      <c r="K234">
        <v>97227</v>
      </c>
      <c r="L234" t="str">
        <v>951240705-SO CAL GAS</v>
      </c>
      <c r="M234">
        <v>2022</v>
      </c>
      <c r="N234" t="str">
        <v>Individual is enrolled in a COBRA or Retiree plan coverage that was not sent on a current post-enrollment reporting year import</v>
      </c>
      <c r="O234" t="str">
        <v xml:space="preserve"> </v>
      </c>
      <c r="P234" t="str">
        <v xml:space="preserve"> </v>
      </c>
      <c r="Q234" s="2">
        <v>44653</v>
      </c>
      <c r="R234" s="2" t="str">
        <v xml:space="preserve"> </v>
      </c>
      <c r="S234" t="str">
        <v>01/01/2019-12/31/9999</v>
      </c>
      <c r="T234" t="str">
        <v>Anthem California Care HMO</v>
      </c>
    </row>
    <row r="235" spans="1:20" x14ac:dyDescent="0.25">
      <c r="A235" s="3">
        <v>53489</v>
      </c>
      <c r="B235">
        <v>564134245</v>
      </c>
      <c r="C235" t="s">
        <v>587</v>
      </c>
      <c r="D235" t="s">
        <v>586</v>
      </c>
      <c r="E235" t="s">
        <v>71</v>
      </c>
      <c r="F235" s="2">
        <v>43344</v>
      </c>
      <c r="H235" t="str" cm="1">
        <f t="array" aca="1" ref="H235" ca="1">CELL("address",_xlfn.XLOOKUP(A235,Sheet1!C:C,Sheet1!C:C))</f>
        <v>[match.xlsx]Sheet1!$C$325</v>
      </c>
      <c r="I235" t="str" cm="1">
        <f t="array" ref="I235:T235">_xlfn.XLOOKUP(A235,Sheet1!C:C,Sheet1!A:L)</f>
        <v>Mariano</v>
      </c>
      <c r="J235" t="str">
        <v>Lourdes</v>
      </c>
      <c r="K235">
        <v>53489</v>
      </c>
      <c r="L235" t="str">
        <v>951184800-SAN DIEGO GAS &amp; ELECTRIC</v>
      </c>
      <c r="M235">
        <v>2022</v>
      </c>
      <c r="N235" t="str">
        <v>Individual is enrolled in a COBRA or Retiree plan coverage that was not sent on a current post-enrollment reporting year import</v>
      </c>
      <c r="O235" t="str">
        <v xml:space="preserve"> </v>
      </c>
      <c r="P235" t="str">
        <v xml:space="preserve"> </v>
      </c>
      <c r="Q235" s="2">
        <v>44653</v>
      </c>
      <c r="R235" s="2" t="str">
        <v xml:space="preserve"> </v>
      </c>
      <c r="S235" t="str">
        <v>09/01/2018-12/31/9999</v>
      </c>
      <c r="T235" t="str">
        <v>Anthem Select HMO</v>
      </c>
    </row>
    <row r="236" spans="1:20" x14ac:dyDescent="0.25">
      <c r="A236" s="3">
        <v>8238</v>
      </c>
      <c r="B236">
        <v>341463589</v>
      </c>
      <c r="C236" t="s">
        <v>1108</v>
      </c>
      <c r="D236" t="s">
        <v>1133</v>
      </c>
      <c r="E236" t="s">
        <v>24</v>
      </c>
      <c r="F236" s="2">
        <v>43101</v>
      </c>
      <c r="H236" t="str" cm="1">
        <f t="array" aca="1" ref="H236" ca="1">CELL("address",_xlfn.XLOOKUP(A236,Sheet1!C:C,Sheet1!C:C))</f>
        <v>[match.xlsx]Sheet1!$C$496</v>
      </c>
      <c r="I236" t="str" cm="1">
        <f t="array" ref="I236:T236">_xlfn.XLOOKUP(A236,Sheet1!C:C,Sheet1!A:L)</f>
        <v>Skurski</v>
      </c>
      <c r="J236" t="str">
        <v>Howard</v>
      </c>
      <c r="K236">
        <v>8238</v>
      </c>
      <c r="L236" t="str">
        <v>951184800-SAN DIEGO GAS &amp; ELECTRIC</v>
      </c>
      <c r="M236">
        <v>2022</v>
      </c>
      <c r="N236" t="str">
        <v>Individual is enrolled in a COBRA or Retiree plan coverage that was not sent on a current post-enrollment reporting year import</v>
      </c>
      <c r="O236" t="str">
        <v xml:space="preserve"> </v>
      </c>
      <c r="P236" t="str">
        <v xml:space="preserve"> </v>
      </c>
      <c r="Q236" s="2">
        <v>44653</v>
      </c>
      <c r="R236" s="2" t="str">
        <v xml:space="preserve"> </v>
      </c>
      <c r="S236" t="str">
        <v>01/01/2018-12/31/9999</v>
      </c>
      <c r="T236" t="str">
        <v>Anthem Health Care Plus+</v>
      </c>
    </row>
    <row r="237" spans="1:20" x14ac:dyDescent="0.25">
      <c r="A237" s="3">
        <v>62597</v>
      </c>
      <c r="B237">
        <v>168420475</v>
      </c>
      <c r="C237" t="s">
        <v>654</v>
      </c>
      <c r="D237" t="s">
        <v>653</v>
      </c>
      <c r="E237" t="s">
        <v>969</v>
      </c>
      <c r="F237" s="2">
        <v>44562</v>
      </c>
      <c r="H237" t="str" cm="1">
        <f t="array" aca="1" ref="H237" ca="1">CELL("address",_xlfn.XLOOKUP(A237,Sheet1!C:C,Sheet1!C:C))</f>
        <v>[match.xlsx]Sheet1!$C$376</v>
      </c>
      <c r="I237" t="str" cm="1">
        <f t="array" ref="I237:T237">_xlfn.XLOOKUP(A237,Sheet1!C:C,Sheet1!A:L)</f>
        <v>Naziri</v>
      </c>
      <c r="J237" t="str">
        <v>Wendy</v>
      </c>
      <c r="K237">
        <v>62597</v>
      </c>
      <c r="L237" t="str">
        <v>951240705-SO CAL GAS</v>
      </c>
      <c r="M237">
        <v>2022</v>
      </c>
      <c r="N237" t="str">
        <v>Individual is enrolled in a COBRA or Retiree plan coverage that was not sent on a current post-enrollment reporting year import</v>
      </c>
      <c r="O237" t="str">
        <v xml:space="preserve"> </v>
      </c>
      <c r="P237" t="str">
        <v xml:space="preserve"> </v>
      </c>
      <c r="Q237" s="2">
        <v>44653</v>
      </c>
      <c r="R237" s="2" t="str">
        <v xml:space="preserve"> </v>
      </c>
      <c r="S237" t="str">
        <v>05/01/2020-12/31/9999</v>
      </c>
      <c r="T237" t="str">
        <v>Anthem Health Care Plus+</v>
      </c>
    </row>
    <row r="238" spans="1:20" x14ac:dyDescent="0.25">
      <c r="A238" s="3">
        <v>85405</v>
      </c>
      <c r="B238">
        <v>436844313</v>
      </c>
      <c r="C238" t="s">
        <v>82</v>
      </c>
      <c r="D238" t="s">
        <v>81</v>
      </c>
      <c r="E238" t="s">
        <v>71</v>
      </c>
      <c r="F238" s="2">
        <v>43466</v>
      </c>
      <c r="H238" t="str" cm="1">
        <f t="array" aca="1" ref="H238" ca="1">CELL("address",_xlfn.XLOOKUP(A238,Sheet1!C:C,Sheet1!C:C))</f>
        <v>[match.xlsx]Sheet1!$C$27</v>
      </c>
      <c r="I238" t="str" cm="1">
        <f t="array" ref="I238:T238">_xlfn.XLOOKUP(A238,Sheet1!C:C,Sheet1!A:L)</f>
        <v>Barnett</v>
      </c>
      <c r="J238" t="str">
        <v>Elizabeth</v>
      </c>
      <c r="K238">
        <v>85405</v>
      </c>
      <c r="L238" t="str">
        <v>951184800-SAN DIEGO GAS &amp; ELECTRIC</v>
      </c>
      <c r="M238">
        <v>2022</v>
      </c>
      <c r="N238" t="str">
        <v>Individual is enrolled in a COBRA or Retiree plan coverage that was not sent on a current post-enrollment reporting year import</v>
      </c>
      <c r="O238" t="str">
        <v xml:space="preserve"> </v>
      </c>
      <c r="P238" t="str">
        <v xml:space="preserve"> </v>
      </c>
      <c r="Q238" s="2">
        <v>44653</v>
      </c>
      <c r="R238" s="2" t="str">
        <v xml:space="preserve"> </v>
      </c>
      <c r="S238" t="str">
        <v>01/01/2019-12/31/9999</v>
      </c>
      <c r="T238" t="str">
        <v>Anthem Select HMO</v>
      </c>
    </row>
    <row r="239" spans="1:20" x14ac:dyDescent="0.25">
      <c r="A239" s="3">
        <v>30984</v>
      </c>
      <c r="B239">
        <v>506908726</v>
      </c>
      <c r="C239" t="s">
        <v>742</v>
      </c>
      <c r="D239" t="s">
        <v>741</v>
      </c>
      <c r="E239" t="s">
        <v>24</v>
      </c>
      <c r="F239" s="2">
        <v>43497</v>
      </c>
      <c r="H239" t="str" cm="1">
        <f t="array" aca="1" ref="H239" ca="1">CELL("address",_xlfn.XLOOKUP(A239,Sheet1!C:C,Sheet1!C:C))</f>
        <v>[match.xlsx]Sheet1!$C$448</v>
      </c>
      <c r="I239" t="str" cm="1">
        <f t="array" ref="I239:T239">_xlfn.XLOOKUP(A239,Sheet1!C:C,Sheet1!A:L)</f>
        <v>Robinson</v>
      </c>
      <c r="J239" t="str">
        <v>Michiko</v>
      </c>
      <c r="K239">
        <v>30984</v>
      </c>
      <c r="L239" t="str">
        <v>951240705-SO CAL GAS</v>
      </c>
      <c r="M239">
        <v>2022</v>
      </c>
      <c r="N239" t="str">
        <v>Individual is enrolled in a COBRA or Retiree plan coverage that was not sent on a current post-enrollment reporting year import</v>
      </c>
      <c r="O239" t="str">
        <v xml:space="preserve"> </v>
      </c>
      <c r="P239" t="str">
        <v xml:space="preserve"> </v>
      </c>
      <c r="Q239" s="2">
        <v>44653</v>
      </c>
      <c r="R239" s="2" t="str">
        <v xml:space="preserve"> </v>
      </c>
      <c r="S239" t="str">
        <v>02/01/2019-12/31/9999</v>
      </c>
      <c r="T239" t="str">
        <v>Anthem Health Care Plus+</v>
      </c>
    </row>
    <row r="240" spans="1:20" x14ac:dyDescent="0.25">
      <c r="A240" s="3">
        <v>15089</v>
      </c>
      <c r="B240">
        <v>567065876</v>
      </c>
      <c r="C240" t="s">
        <v>95</v>
      </c>
      <c r="D240" t="s">
        <v>840</v>
      </c>
      <c r="E240" t="s">
        <v>969</v>
      </c>
      <c r="F240" s="2">
        <v>43831</v>
      </c>
      <c r="H240" t="str" cm="1">
        <f t="array" aca="1" ref="H240" ca="1">CELL("address",_xlfn.XLOOKUP(A240,Sheet1!C:C,Sheet1!C:C))</f>
        <v>[match.xlsx]Sheet1!$C$536</v>
      </c>
      <c r="I240" t="str" cm="1">
        <f t="array" ref="I240:T240">_xlfn.XLOOKUP(A240,Sheet1!C:C,Sheet1!A:L)</f>
        <v>Tiritilli</v>
      </c>
      <c r="J240" t="str">
        <v>Karen</v>
      </c>
      <c r="K240">
        <v>15089</v>
      </c>
      <c r="L240" t="str">
        <v>330732627-SEMPRA ENERGY</v>
      </c>
      <c r="M240">
        <v>2022</v>
      </c>
      <c r="N240" t="str">
        <v>Individual is enrolled in a COBRA or Retiree plan coverage that was not sent on a current post-enrollment reporting year import</v>
      </c>
      <c r="O240" t="str">
        <v xml:space="preserve"> </v>
      </c>
      <c r="P240" t="str">
        <v xml:space="preserve"> </v>
      </c>
      <c r="Q240" s="2">
        <v>44653</v>
      </c>
      <c r="R240" s="2" t="str">
        <v xml:space="preserve"> </v>
      </c>
      <c r="S240" t="str">
        <v>03/01/2019-12/31/9999</v>
      </c>
      <c r="T240" t="str">
        <v>Anthem Select HMO</v>
      </c>
    </row>
    <row r="241" spans="1:20" x14ac:dyDescent="0.25">
      <c r="A241" s="3">
        <v>97603</v>
      </c>
      <c r="B241">
        <v>551235540</v>
      </c>
      <c r="C241" t="s">
        <v>492</v>
      </c>
      <c r="D241" t="s">
        <v>677</v>
      </c>
      <c r="E241" t="s">
        <v>24</v>
      </c>
      <c r="F241" s="2">
        <v>43952</v>
      </c>
      <c r="H241" t="str" cm="1">
        <f t="array" aca="1" ref="H241" ca="1">CELL("address",_xlfn.XLOOKUP(A241,Sheet1!C:C,Sheet1!C:C))</f>
        <v>[match.xlsx]Sheet1!$C$395</v>
      </c>
      <c r="I241" t="str" cm="1">
        <f t="array" ref="I241:T241">_xlfn.XLOOKUP(A241,Sheet1!C:C,Sheet1!A:L)</f>
        <v>O'Neal</v>
      </c>
      <c r="J241" t="str">
        <v>Ryan</v>
      </c>
      <c r="K241">
        <v>97603</v>
      </c>
      <c r="L241" t="str">
        <v>954673646-SEMPRA SERVICES CORPORATION</v>
      </c>
      <c r="M241">
        <v>2022</v>
      </c>
      <c r="N241" t="str">
        <v>Individual is enrolled in a COBRA or Retiree plan coverage that was not sent on a current post-enrollment reporting year import</v>
      </c>
      <c r="O241" t="str">
        <v xml:space="preserve"> </v>
      </c>
      <c r="P241" t="str">
        <v xml:space="preserve"> </v>
      </c>
      <c r="Q241" s="2">
        <v>44653</v>
      </c>
      <c r="R241" s="2" t="str">
        <v xml:space="preserve"> </v>
      </c>
      <c r="S241" t="str">
        <v>05/01/2020-12/31/9999</v>
      </c>
      <c r="T241" t="str">
        <v>Anthem Health Care Plus+</v>
      </c>
    </row>
    <row r="242" spans="1:20" x14ac:dyDescent="0.25">
      <c r="A242" s="3">
        <v>48956</v>
      </c>
      <c r="B242">
        <v>566294832</v>
      </c>
      <c r="C242" t="s">
        <v>522</v>
      </c>
      <c r="D242" t="s">
        <v>521</v>
      </c>
      <c r="E242" t="s">
        <v>1070</v>
      </c>
      <c r="F242" s="2">
        <v>43466</v>
      </c>
      <c r="H242" t="str" cm="1">
        <f t="array" aca="1" ref="H242" ca="1">CELL("address",_xlfn.XLOOKUP(A242,Sheet1!C:C,Sheet1!C:C))</f>
        <v>[match.xlsx]Sheet1!$C$277</v>
      </c>
      <c r="I242" t="str" cm="1">
        <f t="array" ref="I242:T242">_xlfn.XLOOKUP(A242,Sheet1!C:C,Sheet1!A:L)</f>
        <v>Lane</v>
      </c>
      <c r="J242" t="str">
        <v>Bradley</v>
      </c>
      <c r="K242">
        <v>48956</v>
      </c>
      <c r="L242" t="str">
        <v>951240705-SO CAL GAS</v>
      </c>
      <c r="M242">
        <v>2022</v>
      </c>
      <c r="N242" t="str">
        <v>Individual is enrolled in a COBRA or Retiree plan coverage that was not sent on a current post-enrollment reporting year import</v>
      </c>
      <c r="O242" t="str">
        <v xml:space="preserve"> </v>
      </c>
      <c r="P242" t="str">
        <v xml:space="preserve"> </v>
      </c>
      <c r="Q242" s="2">
        <v>44653</v>
      </c>
      <c r="R242" s="2" t="str">
        <v xml:space="preserve"> </v>
      </c>
      <c r="S242" t="str">
        <v>01/01/2019-12/31/9999</v>
      </c>
      <c r="T242" t="str">
        <v>Anthem Health Care Plus+</v>
      </c>
    </row>
    <row r="243" spans="1:20" x14ac:dyDescent="0.25">
      <c r="A243" s="3">
        <v>93457</v>
      </c>
      <c r="B243">
        <v>551989502</v>
      </c>
      <c r="C243" t="s">
        <v>1134</v>
      </c>
      <c r="D243" t="s">
        <v>1135</v>
      </c>
      <c r="E243" t="s">
        <v>969</v>
      </c>
      <c r="F243" s="2">
        <v>43800</v>
      </c>
      <c r="H243" t="str" cm="1">
        <f t="array" aca="1" ref="H243" ca="1">CELL("address",_xlfn.XLOOKUP(A243,Sheet1!C:C,Sheet1!C:C))</f>
        <v>[match.xlsx]Sheet1!$C$570</v>
      </c>
      <c r="I243" t="str" cm="1">
        <f t="array" ref="I243:T243">_xlfn.XLOOKUP(A243,Sheet1!C:C,Sheet1!A:L)</f>
        <v>White</v>
      </c>
      <c r="J243" t="str">
        <v>Wayne</v>
      </c>
      <c r="K243">
        <v>93457</v>
      </c>
      <c r="L243" t="str">
        <v>951184800-SAN DIEGO GAS &amp; ELECTRIC</v>
      </c>
      <c r="M243">
        <v>2022</v>
      </c>
      <c r="N243" t="str">
        <v>Individual is enrolled in a COBRA or Retiree plan coverage that was not sent on a current post-enrollment reporting year import</v>
      </c>
      <c r="O243" t="str">
        <v xml:space="preserve"> </v>
      </c>
      <c r="P243" t="str">
        <v xml:space="preserve"> </v>
      </c>
      <c r="Q243" s="2">
        <v>44653</v>
      </c>
      <c r="R243" s="2" t="str">
        <v xml:space="preserve"> </v>
      </c>
      <c r="S243" t="str">
        <v>10/01/2019-12/31/9999</v>
      </c>
      <c r="T243" t="str">
        <v>Anthem Select HMO</v>
      </c>
    </row>
    <row r="244" spans="1:20" x14ac:dyDescent="0.25">
      <c r="A244" s="3">
        <v>97588</v>
      </c>
      <c r="B244">
        <v>552311620</v>
      </c>
      <c r="C244" t="s">
        <v>1066</v>
      </c>
      <c r="D244" t="s">
        <v>1136</v>
      </c>
      <c r="E244" t="s">
        <v>957</v>
      </c>
      <c r="F244" s="2">
        <v>43466</v>
      </c>
      <c r="H244" t="str" cm="1">
        <f t="array" aca="1" ref="H244" ca="1">CELL("address",_xlfn.XLOOKUP(A244,Sheet1!C:C,Sheet1!C:C))</f>
        <v>[match.xlsx]Sheet1!$C$254</v>
      </c>
      <c r="I244" t="str" cm="1">
        <f t="array" ref="I244:T244">_xlfn.XLOOKUP(A244,Sheet1!C:C,Sheet1!A:L)</f>
        <v>Kakuda-Carwile</v>
      </c>
      <c r="J244" t="str">
        <v>Sharon</v>
      </c>
      <c r="K244">
        <v>97588</v>
      </c>
      <c r="L244" t="str">
        <v>951240705-SO CAL GAS</v>
      </c>
      <c r="M244">
        <v>2022</v>
      </c>
      <c r="N244" t="str">
        <v>Individual is enrolled in a COBRA or Retiree plan coverage that was not sent on a current post-enrollment reporting year import</v>
      </c>
      <c r="O244" t="str">
        <v xml:space="preserve"> </v>
      </c>
      <c r="P244" t="str">
        <v xml:space="preserve"> </v>
      </c>
      <c r="Q244" s="2">
        <v>44653</v>
      </c>
      <c r="R244" s="2" t="str">
        <v xml:space="preserve"> </v>
      </c>
      <c r="S244" t="str">
        <v>01/01/2018-12/31/9999</v>
      </c>
      <c r="T244" t="str">
        <v>Anthem Select HMO</v>
      </c>
    </row>
    <row r="245" spans="1:20" x14ac:dyDescent="0.25">
      <c r="A245" s="3">
        <v>49611</v>
      </c>
      <c r="B245">
        <v>547988182</v>
      </c>
      <c r="C245" t="s">
        <v>125</v>
      </c>
      <c r="D245" t="s">
        <v>526</v>
      </c>
      <c r="E245" t="s">
        <v>966</v>
      </c>
      <c r="F245" s="2">
        <v>43831</v>
      </c>
      <c r="H245" t="str" cm="1">
        <f t="array" aca="1" ref="H245" ca="1">CELL("address",_xlfn.XLOOKUP(A245,Sheet1!C:C,Sheet1!C:C))</f>
        <v>[match.xlsx]Sheet1!$C$282</v>
      </c>
      <c r="I245" t="str" cm="1">
        <f t="array" ref="I245:T245">_xlfn.XLOOKUP(A245,Sheet1!C:C,Sheet1!A:L)</f>
        <v>Lassiter</v>
      </c>
      <c r="J245" t="str">
        <v>Mary</v>
      </c>
      <c r="K245">
        <v>49611</v>
      </c>
      <c r="L245" t="str">
        <v>951184800-SAN DIEGO GAS &amp; ELECTRIC</v>
      </c>
      <c r="M245">
        <v>2022</v>
      </c>
      <c r="N245" t="str">
        <v>Individual is enrolled in a COBRA or Retiree plan coverage that was not sent on a current post-enrollment reporting year import</v>
      </c>
      <c r="O245" t="str">
        <v xml:space="preserve"> </v>
      </c>
      <c r="P245" t="str">
        <v xml:space="preserve"> </v>
      </c>
      <c r="Q245" s="2">
        <v>44653</v>
      </c>
      <c r="R245" s="2" t="str">
        <v xml:space="preserve"> </v>
      </c>
      <c r="S245" t="str">
        <v>01/01/2019-12/31/9999</v>
      </c>
      <c r="T245" t="str">
        <v>Anthem Select HMO</v>
      </c>
    </row>
    <row r="246" spans="1:20" x14ac:dyDescent="0.25">
      <c r="A246" s="3">
        <v>52131</v>
      </c>
      <c r="B246">
        <v>570338209</v>
      </c>
      <c r="C246" t="s">
        <v>429</v>
      </c>
      <c r="D246" t="s">
        <v>634</v>
      </c>
      <c r="E246" t="s">
        <v>31</v>
      </c>
      <c r="F246" s="2">
        <v>43831</v>
      </c>
      <c r="H246" t="str" cm="1">
        <f t="array" aca="1" ref="H246" ca="1">CELL("address",_xlfn.XLOOKUP(A246,Sheet1!C:C,Sheet1!C:C))</f>
        <v>[match.xlsx]Sheet1!$C$363</v>
      </c>
      <c r="I246" t="str" cm="1">
        <f t="array" ref="I246:T246">_xlfn.XLOOKUP(A246,Sheet1!C:C,Sheet1!A:L)</f>
        <v>Morales</v>
      </c>
      <c r="J246" t="str">
        <v>Jaime</v>
      </c>
      <c r="K246">
        <v>52131</v>
      </c>
      <c r="L246" t="str">
        <v>951240705-SO CAL GAS</v>
      </c>
      <c r="M246">
        <v>2022</v>
      </c>
      <c r="N246" t="str">
        <v>Individual is enrolled in a COBRA or Retiree plan coverage that was not sent on a current post-enrollment reporting year import</v>
      </c>
      <c r="O246" t="str">
        <v xml:space="preserve"> </v>
      </c>
      <c r="P246" t="str">
        <v xml:space="preserve"> </v>
      </c>
      <c r="Q246" s="2">
        <v>44653</v>
      </c>
      <c r="R246" s="2" t="str">
        <v xml:space="preserve"> </v>
      </c>
      <c r="S246" t="str">
        <v>01/01/2020-12/31/9999</v>
      </c>
      <c r="T246" t="str">
        <v>Anthem California Care HMO</v>
      </c>
    </row>
    <row r="247" spans="1:20" x14ac:dyDescent="0.25">
      <c r="A247" s="3">
        <v>88097</v>
      </c>
      <c r="B247">
        <v>447489341</v>
      </c>
      <c r="C247" t="s">
        <v>1000</v>
      </c>
      <c r="D247" t="s">
        <v>1137</v>
      </c>
      <c r="E247" t="s">
        <v>46</v>
      </c>
      <c r="F247" s="2">
        <v>43101</v>
      </c>
      <c r="H247" t="str" cm="1">
        <f t="array" aca="1" ref="H247" ca="1">CELL("address",_xlfn.XLOOKUP(A247,Sheet1!C:C,Sheet1!C:C))</f>
        <v>[match.xlsx]Sheet1!$C$545</v>
      </c>
      <c r="I247" t="str" cm="1">
        <f t="array" ref="I247:T247">_xlfn.XLOOKUP(A247,Sheet1!C:C,Sheet1!A:L)</f>
        <v>Tucker</v>
      </c>
      <c r="J247" t="str">
        <v>Kathleen</v>
      </c>
      <c r="K247">
        <v>88097</v>
      </c>
      <c r="L247" t="str">
        <v>951184800-SAN DIEGO GAS &amp; ELECTRIC</v>
      </c>
      <c r="M247">
        <v>2022</v>
      </c>
      <c r="N247" t="str">
        <v>Individual is enrolled in a COBRA or Retiree plan coverage that was not sent on a current post-enrollment reporting year import</v>
      </c>
      <c r="O247" t="str">
        <v xml:space="preserve"> </v>
      </c>
      <c r="P247" t="str">
        <v xml:space="preserve"> </v>
      </c>
      <c r="Q247" s="2">
        <v>44653</v>
      </c>
      <c r="R247" s="2" t="str">
        <v xml:space="preserve"> </v>
      </c>
      <c r="S247" t="str">
        <v>01/01/2018-12/31/9999</v>
      </c>
      <c r="T247" t="str">
        <v>Anthem PPO Out-of-CA</v>
      </c>
    </row>
    <row r="248" spans="1:20" x14ac:dyDescent="0.25">
      <c r="A248" s="3">
        <v>53370</v>
      </c>
      <c r="B248">
        <v>545297792</v>
      </c>
      <c r="C248" t="s">
        <v>1039</v>
      </c>
      <c r="D248" t="s">
        <v>1138</v>
      </c>
      <c r="E248" t="s">
        <v>24</v>
      </c>
      <c r="F248" s="2">
        <v>43101</v>
      </c>
      <c r="H248" t="str" cm="1">
        <f t="array" aca="1" ref="H248" ca="1">CELL("address",_xlfn.XLOOKUP(A248,Sheet1!C:C,Sheet1!C:C))</f>
        <v>[match.xlsx]Sheet1!$C$324</v>
      </c>
      <c r="I248" t="str" cm="1">
        <f t="array" ref="I248:T248">_xlfn.XLOOKUP(A248,Sheet1!C:C,Sheet1!A:L)</f>
        <v>Manry</v>
      </c>
      <c r="J248" t="str">
        <v>Michael</v>
      </c>
      <c r="K248">
        <v>53370</v>
      </c>
      <c r="L248" t="str">
        <v>951184800-SAN DIEGO GAS &amp; ELECTRIC</v>
      </c>
      <c r="M248">
        <v>2022</v>
      </c>
      <c r="N248" t="str">
        <v>Individual is enrolled in a COBRA or Retiree plan coverage that was not sent on a current post-enrollment reporting year import</v>
      </c>
      <c r="O248" t="str">
        <v xml:space="preserve"> </v>
      </c>
      <c r="P248" t="str">
        <v xml:space="preserve"> </v>
      </c>
      <c r="Q248" s="2">
        <v>44653</v>
      </c>
      <c r="R248" s="2" t="str">
        <v xml:space="preserve"> </v>
      </c>
      <c r="S248" t="str">
        <v>01/01/2018-12/31/9999</v>
      </c>
      <c r="T248" t="str">
        <v>Anthem Health Care Plus+</v>
      </c>
    </row>
    <row r="249" spans="1:20" x14ac:dyDescent="0.25">
      <c r="A249" s="3">
        <v>23937</v>
      </c>
      <c r="B249">
        <v>550029241</v>
      </c>
      <c r="C249" t="s">
        <v>602</v>
      </c>
      <c r="D249" t="s">
        <v>601</v>
      </c>
      <c r="E249" t="s">
        <v>969</v>
      </c>
      <c r="F249" s="2">
        <v>43770</v>
      </c>
      <c r="H249" t="str" cm="1">
        <f t="array" aca="1" ref="H249" ca="1">CELL("address",_xlfn.XLOOKUP(A249,Sheet1!C:C,Sheet1!C:C))</f>
        <v>[match.xlsx]Sheet1!$C$338</v>
      </c>
      <c r="I249" t="str" cm="1">
        <f t="array" ref="I249:T249">_xlfn.XLOOKUP(A249,Sheet1!C:C,Sheet1!A:L)</f>
        <v>McClelland</v>
      </c>
      <c r="J249" t="str">
        <v>Corey</v>
      </c>
      <c r="K249">
        <v>23937</v>
      </c>
      <c r="L249" t="str">
        <v>951184800-SAN DIEGO GAS &amp; ELECTRIC</v>
      </c>
      <c r="M249">
        <v>2022</v>
      </c>
      <c r="N249" t="str">
        <v>Individual is enrolled in a COBRA or Retiree plan coverage that was not sent on a current post-enrollment reporting year import</v>
      </c>
      <c r="O249" t="str">
        <v xml:space="preserve"> </v>
      </c>
      <c r="P249" t="str">
        <v xml:space="preserve"> </v>
      </c>
      <c r="Q249" s="2">
        <v>44653</v>
      </c>
      <c r="R249" s="2" t="str">
        <v xml:space="preserve"> </v>
      </c>
      <c r="S249" t="str">
        <v>09/01/2019-12/31/9999</v>
      </c>
      <c r="T249" t="str">
        <v>Anthem Health Care Plus+</v>
      </c>
    </row>
    <row r="250" spans="1:20" x14ac:dyDescent="0.25">
      <c r="A250" s="3">
        <v>97288</v>
      </c>
      <c r="B250">
        <v>562925384</v>
      </c>
      <c r="C250" t="s">
        <v>990</v>
      </c>
      <c r="D250" t="s">
        <v>1139</v>
      </c>
      <c r="E250" t="s">
        <v>969</v>
      </c>
      <c r="F250" s="2">
        <v>43497</v>
      </c>
      <c r="H250" t="str" cm="1">
        <f t="array" aca="1" ref="H250" ca="1">CELL("address",_xlfn.XLOOKUP(A250,Sheet1!C:C,Sheet1!C:C))</f>
        <v>[match.xlsx]Sheet1!$C$161</v>
      </c>
      <c r="I250" t="str" cm="1">
        <f t="array" ref="I250:T250">_xlfn.XLOOKUP(A250,Sheet1!C:C,Sheet1!A:L)</f>
        <v>Fritsch</v>
      </c>
      <c r="J250" t="str">
        <v>R Russell</v>
      </c>
      <c r="K250">
        <v>97288</v>
      </c>
      <c r="L250" t="str">
        <v>951240705-SO CAL GAS</v>
      </c>
      <c r="M250">
        <v>2022</v>
      </c>
      <c r="N250" t="str">
        <v>Individual is enrolled in a COBRA or Retiree plan coverage that was not sent on a current post-enrollment reporting year import</v>
      </c>
      <c r="O250" t="str">
        <v xml:space="preserve"> </v>
      </c>
      <c r="P250" t="str">
        <v xml:space="preserve"> </v>
      </c>
      <c r="Q250" s="2">
        <v>44653</v>
      </c>
      <c r="R250" s="2" t="str">
        <v xml:space="preserve"> </v>
      </c>
      <c r="S250" t="str">
        <v>01/01/2019-12/31/9999</v>
      </c>
      <c r="T250" t="str">
        <v>Anthem California Care HMO</v>
      </c>
    </row>
    <row r="251" spans="1:20" x14ac:dyDescent="0.25">
      <c r="A251" s="3">
        <v>41806</v>
      </c>
      <c r="B251">
        <v>557258927</v>
      </c>
      <c r="C251" t="s">
        <v>1140</v>
      </c>
      <c r="D251" t="s">
        <v>1141</v>
      </c>
      <c r="E251" t="s">
        <v>31</v>
      </c>
      <c r="F251" s="2">
        <v>43101</v>
      </c>
      <c r="H251" t="str" cm="1">
        <f t="array" aca="1" ref="H251" ca="1">CELL("address",_xlfn.XLOOKUP(A251,Sheet1!C:C,Sheet1!C:C))</f>
        <v>[match.xlsx]Sheet1!$C$492</v>
      </c>
      <c r="I251" t="str" cm="1">
        <f t="array" ref="I251:T251">_xlfn.XLOOKUP(A251,Sheet1!C:C,Sheet1!A:L)</f>
        <v>Silva</v>
      </c>
      <c r="J251" t="str">
        <v>Gabriel</v>
      </c>
      <c r="K251">
        <v>41806</v>
      </c>
      <c r="L251" t="str">
        <v>951240705-SO CAL GAS</v>
      </c>
      <c r="M251">
        <v>2022</v>
      </c>
      <c r="N251" t="str">
        <v>Individual is enrolled in a COBRA or Retiree plan coverage that was not sent on a current post-enrollment reporting year import</v>
      </c>
      <c r="O251" t="str">
        <v xml:space="preserve"> </v>
      </c>
      <c r="P251" t="str">
        <v xml:space="preserve"> </v>
      </c>
      <c r="Q251" s="2">
        <v>44653</v>
      </c>
      <c r="R251" s="2" t="str">
        <v xml:space="preserve"> </v>
      </c>
      <c r="S251" t="str">
        <v>01/01/2018-12/31/9999</v>
      </c>
      <c r="T251" t="str">
        <v>Anthem California Care HMO</v>
      </c>
    </row>
    <row r="252" spans="1:20" x14ac:dyDescent="0.25">
      <c r="A252" s="3">
        <v>37879</v>
      </c>
      <c r="B252">
        <v>551929750</v>
      </c>
      <c r="C252" t="s">
        <v>850</v>
      </c>
      <c r="D252" t="s">
        <v>849</v>
      </c>
      <c r="E252" t="s">
        <v>969</v>
      </c>
      <c r="F252" s="2">
        <v>43374</v>
      </c>
      <c r="H252" t="str" cm="1">
        <f t="array" aca="1" ref="H252" ca="1">CELL("address",_xlfn.XLOOKUP(A252,Sheet1!C:C,Sheet1!C:C))</f>
        <v>[match.xlsx]Sheet1!$C$544</v>
      </c>
      <c r="I252" t="str" cm="1">
        <f t="array" ref="I252:T252">_xlfn.XLOOKUP(A252,Sheet1!C:C,Sheet1!A:L)</f>
        <v>Trujillo</v>
      </c>
      <c r="J252" t="str">
        <v>Elsa</v>
      </c>
      <c r="K252">
        <v>37879</v>
      </c>
      <c r="L252" t="str">
        <v>951240705-SO CAL GAS</v>
      </c>
      <c r="M252">
        <v>2022</v>
      </c>
      <c r="N252" t="str">
        <v>Individual is enrolled in a COBRA or Retiree plan coverage that was not sent on a current post-enrollment reporting year import</v>
      </c>
      <c r="O252" t="str">
        <v xml:space="preserve"> </v>
      </c>
      <c r="P252" t="str">
        <v xml:space="preserve"> </v>
      </c>
      <c r="Q252" s="2">
        <v>44653</v>
      </c>
      <c r="R252" s="2" t="str">
        <v xml:space="preserve"> </v>
      </c>
      <c r="S252" t="str">
        <v>01/01/2018-12/31/9999</v>
      </c>
      <c r="T252" t="str">
        <v>Anthem Select Plus HMO</v>
      </c>
    </row>
    <row r="253" spans="1:20" x14ac:dyDescent="0.25">
      <c r="A253" s="3">
        <v>97373</v>
      </c>
      <c r="B253">
        <v>557022109</v>
      </c>
      <c r="C253" t="s">
        <v>1142</v>
      </c>
      <c r="D253" t="s">
        <v>1143</v>
      </c>
      <c r="E253" t="s">
        <v>969</v>
      </c>
      <c r="F253" s="2">
        <v>43647</v>
      </c>
      <c r="H253" t="str" cm="1">
        <f t="array" aca="1" ref="H253" ca="1">CELL("address",_xlfn.XLOOKUP(A253,Sheet1!C:C,Sheet1!C:C))</f>
        <v>[match.xlsx]Sheet1!$C$139</v>
      </c>
      <c r="I253" t="str" cm="1">
        <f t="array" ref="I253:T253">_xlfn.XLOOKUP(A253,Sheet1!C:C,Sheet1!A:L)</f>
        <v>Estrada</v>
      </c>
      <c r="J253" t="str">
        <v>Anne</v>
      </c>
      <c r="K253">
        <v>97373</v>
      </c>
      <c r="L253" t="str">
        <v>951184800-SAN DIEGO GAS &amp; ELECTRIC</v>
      </c>
      <c r="M253">
        <v>2022</v>
      </c>
      <c r="N253" t="str">
        <v>Individual is enrolled in a COBRA or Retiree plan coverage that was not sent on a current post-enrollment reporting year import</v>
      </c>
      <c r="O253" t="str">
        <v xml:space="preserve"> </v>
      </c>
      <c r="P253" t="str">
        <v xml:space="preserve"> </v>
      </c>
      <c r="Q253" s="2">
        <v>44653</v>
      </c>
      <c r="R253" s="2" t="str">
        <v xml:space="preserve"> </v>
      </c>
      <c r="S253" t="str">
        <v>01/01/2019-12/31/9999</v>
      </c>
      <c r="T253" t="str">
        <v>Anthem Select HMO</v>
      </c>
    </row>
    <row r="254" spans="1:20" x14ac:dyDescent="0.25">
      <c r="A254" s="3">
        <v>22261</v>
      </c>
      <c r="B254">
        <v>552394315</v>
      </c>
      <c r="C254" t="s">
        <v>1144</v>
      </c>
      <c r="D254" t="s">
        <v>1145</v>
      </c>
      <c r="E254" t="s">
        <v>24</v>
      </c>
      <c r="F254" s="2">
        <v>43191</v>
      </c>
      <c r="H254" t="str" cm="1">
        <f t="array" aca="1" ref="H254" ca="1">CELL("address",_xlfn.XLOOKUP(A254,Sheet1!C:C,Sheet1!C:C))</f>
        <v>[match.xlsx]Sheet1!$C$114</v>
      </c>
      <c r="I254" t="str" cm="1">
        <f t="array" ref="I254:T254">_xlfn.XLOOKUP(A254,Sheet1!C:C,Sheet1!A:L)</f>
        <v>Devine</v>
      </c>
      <c r="J254" t="str">
        <v>Hannah</v>
      </c>
      <c r="K254">
        <v>22261</v>
      </c>
      <c r="L254" t="str">
        <v>330732627-SEMPRA ENERGY</v>
      </c>
      <c r="M254">
        <v>2022</v>
      </c>
      <c r="N254" t="str">
        <v>Individual is enrolled in a COBRA or Retiree plan coverage that was not sent on a current post-enrollment reporting year import</v>
      </c>
      <c r="O254" t="str">
        <v xml:space="preserve"> </v>
      </c>
      <c r="P254" t="str">
        <v xml:space="preserve"> </v>
      </c>
      <c r="Q254" s="2">
        <v>44653</v>
      </c>
      <c r="R254" s="2" t="str">
        <v xml:space="preserve"> </v>
      </c>
      <c r="S254" t="str">
        <v>04/01/2018-12/31/9999</v>
      </c>
      <c r="T254" t="str">
        <v>Anthem Health Care Plus+</v>
      </c>
    </row>
    <row r="255" spans="1:20" x14ac:dyDescent="0.25">
      <c r="A255" s="3">
        <v>48721</v>
      </c>
      <c r="B255">
        <v>565944143</v>
      </c>
      <c r="C255" t="s">
        <v>1146</v>
      </c>
      <c r="D255" t="s">
        <v>1147</v>
      </c>
      <c r="E255" t="s">
        <v>969</v>
      </c>
      <c r="F255" s="2">
        <v>43374</v>
      </c>
      <c r="H255" t="str" cm="1">
        <f t="array" aca="1" ref="H255" ca="1">CELL("address",_xlfn.XLOOKUP(A255,Sheet1!C:C,Sheet1!C:C))</f>
        <v>[match.xlsx]Sheet1!$C$434</v>
      </c>
      <c r="I255" t="str" cm="1">
        <f t="array" ref="I255:T255">_xlfn.XLOOKUP(A255,Sheet1!C:C,Sheet1!A:L)</f>
        <v>Reyes</v>
      </c>
      <c r="J255" t="str">
        <v>Eloise</v>
      </c>
      <c r="K255">
        <v>48721</v>
      </c>
      <c r="L255" t="str">
        <v>951240705-SO CAL GAS</v>
      </c>
      <c r="M255">
        <v>2022</v>
      </c>
      <c r="N255" t="str">
        <v>Individual is enrolled in a COBRA or Retiree plan coverage that was not sent on a current post-enrollment reporting year import</v>
      </c>
      <c r="O255" t="str">
        <v xml:space="preserve"> </v>
      </c>
      <c r="P255" t="str">
        <v xml:space="preserve"> </v>
      </c>
      <c r="Q255" s="2">
        <v>44653</v>
      </c>
      <c r="R255" s="2" t="str">
        <v xml:space="preserve"> </v>
      </c>
      <c r="S255" t="str">
        <v>01/01/2018-12/31/9999</v>
      </c>
      <c r="T255" t="str">
        <v>Anthem Select Plus HMO</v>
      </c>
    </row>
    <row r="256" spans="1:20" x14ac:dyDescent="0.25">
      <c r="A256" s="3">
        <v>61759</v>
      </c>
      <c r="B256">
        <v>312663618</v>
      </c>
      <c r="C256" t="s">
        <v>355</v>
      </c>
      <c r="D256" t="s">
        <v>657</v>
      </c>
      <c r="E256" t="s">
        <v>71</v>
      </c>
      <c r="F256" s="2">
        <v>43647</v>
      </c>
      <c r="H256" t="str" cm="1">
        <f t="array" aca="1" ref="H256" ca="1">CELL("address",_xlfn.XLOOKUP(A256,Sheet1!C:C,Sheet1!C:C))</f>
        <v>[match.xlsx]Sheet1!$C$379</v>
      </c>
      <c r="I256" t="str" cm="1">
        <f t="array" ref="I256:T256">_xlfn.XLOOKUP(A256,Sheet1!C:C,Sheet1!A:L)</f>
        <v>Nelson</v>
      </c>
      <c r="J256" t="str">
        <v>Paul</v>
      </c>
      <c r="K256">
        <v>61759</v>
      </c>
      <c r="L256" t="str">
        <v>330732627-SEMPRA ENERGY</v>
      </c>
      <c r="M256">
        <v>2022</v>
      </c>
      <c r="N256" t="str">
        <v>Individual is enrolled in a COBRA or Retiree plan coverage that was not sent on a current post-enrollment reporting year import</v>
      </c>
      <c r="O256" t="str">
        <v xml:space="preserve"> </v>
      </c>
      <c r="P256" t="str">
        <v xml:space="preserve"> </v>
      </c>
      <c r="Q256" s="2">
        <v>44653</v>
      </c>
      <c r="R256" s="2" t="str">
        <v xml:space="preserve"> </v>
      </c>
      <c r="S256" t="str">
        <v>07/01/2019-12/31/9999</v>
      </c>
      <c r="T256" t="str">
        <v>Anthem Select HMO</v>
      </c>
    </row>
    <row r="257" spans="1:20" x14ac:dyDescent="0.25">
      <c r="A257" s="3">
        <v>5495</v>
      </c>
      <c r="B257">
        <v>547371429</v>
      </c>
      <c r="C257" t="s">
        <v>90</v>
      </c>
      <c r="D257" t="s">
        <v>89</v>
      </c>
      <c r="E257" t="s">
        <v>24</v>
      </c>
      <c r="F257" s="2">
        <v>43556</v>
      </c>
      <c r="H257" t="str" cm="1">
        <f t="array" aca="1" ref="H257" ca="1">CELL("address",_xlfn.XLOOKUP(A257,Sheet1!C:C,Sheet1!C:C))</f>
        <v>[match.xlsx]Sheet1!$C$31</v>
      </c>
      <c r="I257" t="str" cm="1">
        <f t="array" ref="I257:T257">_xlfn.XLOOKUP(A257,Sheet1!C:C,Sheet1!A:L)</f>
        <v>Bauers</v>
      </c>
      <c r="J257" t="str">
        <v>Joseph</v>
      </c>
      <c r="K257">
        <v>5495</v>
      </c>
      <c r="L257" t="str">
        <v>951184800-SAN DIEGO GAS &amp; ELECTRIC</v>
      </c>
      <c r="M257">
        <v>2022</v>
      </c>
      <c r="N257" t="str">
        <v>Individual is enrolled in a COBRA or Retiree plan coverage that was not sent on a current post-enrollment reporting year import</v>
      </c>
      <c r="O257" t="str">
        <v xml:space="preserve"> </v>
      </c>
      <c r="P257" t="str">
        <v xml:space="preserve"> </v>
      </c>
      <c r="Q257" s="2">
        <v>44653</v>
      </c>
      <c r="R257" s="2" t="str">
        <v xml:space="preserve"> </v>
      </c>
      <c r="S257" t="str">
        <v>04/01/2019-12/31/9999</v>
      </c>
      <c r="T257" t="str">
        <v>Anthem Health Care Plus+</v>
      </c>
    </row>
    <row r="258" spans="1:20" x14ac:dyDescent="0.25">
      <c r="A258" s="3">
        <v>88623</v>
      </c>
      <c r="B258">
        <v>570117070</v>
      </c>
      <c r="C258" t="s">
        <v>316</v>
      </c>
      <c r="D258" t="s">
        <v>863</v>
      </c>
      <c r="E258" t="s">
        <v>71</v>
      </c>
      <c r="F258" s="2">
        <v>43525</v>
      </c>
      <c r="H258" t="str" cm="1">
        <f t="array" aca="1" ref="H258" ca="1">CELL("address",_xlfn.XLOOKUP(A258,Sheet1!C:C,Sheet1!C:C))</f>
        <v>[match.xlsx]Sheet1!$C$551</v>
      </c>
      <c r="I258" t="str" cm="1">
        <f t="array" ref="I258:T258">_xlfn.XLOOKUP(A258,Sheet1!C:C,Sheet1!A:L)</f>
        <v>Urtasun</v>
      </c>
      <c r="J258" t="str">
        <v>Francisco</v>
      </c>
      <c r="K258">
        <v>88623</v>
      </c>
      <c r="L258" t="str">
        <v>954673646-SEMPRA SERVICES CORPORATION</v>
      </c>
      <c r="M258">
        <v>2022</v>
      </c>
      <c r="N258" t="str">
        <v>Individual is enrolled in a COBRA or Retiree plan coverage that was not sent on a current post-enrollment reporting year import</v>
      </c>
      <c r="O258" t="str">
        <v xml:space="preserve"> </v>
      </c>
      <c r="P258" t="str">
        <v xml:space="preserve"> </v>
      </c>
      <c r="Q258" s="2">
        <v>44653</v>
      </c>
      <c r="R258" s="2" t="str">
        <v xml:space="preserve"> </v>
      </c>
      <c r="S258" t="str">
        <v>03/01/2019-12/31/9999</v>
      </c>
      <c r="T258" t="str">
        <v>Anthem Select HMO</v>
      </c>
    </row>
    <row r="259" spans="1:20" x14ac:dyDescent="0.25">
      <c r="A259" s="3">
        <v>48720</v>
      </c>
      <c r="B259">
        <v>565943944</v>
      </c>
      <c r="C259" t="s">
        <v>1148</v>
      </c>
      <c r="D259" t="s">
        <v>1149</v>
      </c>
      <c r="E259" t="s">
        <v>24</v>
      </c>
      <c r="F259" s="2">
        <v>43101</v>
      </c>
      <c r="H259" t="str" cm="1">
        <f t="array" aca="1" ref="H259" ca="1">CELL("address",_xlfn.XLOOKUP(A259,Sheet1!C:C,Sheet1!C:C))</f>
        <v>[match.xlsx]Sheet1!$C$60</v>
      </c>
      <c r="I259" t="str" cm="1">
        <f t="array" ref="I259:T259">_xlfn.XLOOKUP(A259,Sheet1!C:C,Sheet1!A:L)</f>
        <v>Brown</v>
      </c>
      <c r="J259" t="str">
        <v>Deborah</v>
      </c>
      <c r="K259">
        <v>48720</v>
      </c>
      <c r="L259" t="str">
        <v>951240705-SO CAL GAS</v>
      </c>
      <c r="M259">
        <v>2022</v>
      </c>
      <c r="N259" t="str">
        <v>Individual is enrolled in a COBRA or Retiree plan coverage that was not sent on a current post-enrollment reporting year import</v>
      </c>
      <c r="O259" t="str">
        <v xml:space="preserve"> </v>
      </c>
      <c r="P259" t="str">
        <v xml:space="preserve"> </v>
      </c>
      <c r="Q259" s="2">
        <v>44653</v>
      </c>
      <c r="R259" s="2" t="str">
        <v xml:space="preserve"> </v>
      </c>
      <c r="S259" t="str">
        <v>01/01/2018-12/31/9999</v>
      </c>
      <c r="T259" t="str">
        <v>Anthem Health Care Plus+</v>
      </c>
    </row>
    <row r="260" spans="1:20" x14ac:dyDescent="0.25">
      <c r="A260" s="3">
        <v>25351</v>
      </c>
      <c r="B260">
        <v>58480798</v>
      </c>
      <c r="C260" t="s">
        <v>1150</v>
      </c>
      <c r="D260" t="s">
        <v>1151</v>
      </c>
      <c r="E260" t="s">
        <v>969</v>
      </c>
      <c r="F260" s="2">
        <v>44562</v>
      </c>
      <c r="H260" t="str" cm="1">
        <f t="array" aca="1" ref="H260" ca="1">CELL("address",_xlfn.XLOOKUP(A260,Sheet1!C:C,Sheet1!C:C))</f>
        <v>[match.xlsx]Sheet1!$C$568</v>
      </c>
      <c r="I260" t="str" cm="1">
        <f t="array" ref="I260:T260">_xlfn.XLOOKUP(A260,Sheet1!C:C,Sheet1!A:L)</f>
        <v>Wheaton</v>
      </c>
      <c r="J260" t="str">
        <v>Walter</v>
      </c>
      <c r="K260">
        <v>25351</v>
      </c>
      <c r="L260" t="str">
        <v>951240705-SO CAL GAS</v>
      </c>
      <c r="M260">
        <v>2022</v>
      </c>
      <c r="N260" t="str">
        <v>Individual is enrolled in a COBRA or Retiree plan coverage that was not sent on a current post-enrollment reporting year import</v>
      </c>
      <c r="O260" t="str">
        <v xml:space="preserve"> </v>
      </c>
      <c r="P260" t="str">
        <v xml:space="preserve"> </v>
      </c>
      <c r="Q260" s="2">
        <v>44653</v>
      </c>
      <c r="R260" s="2" t="str">
        <v xml:space="preserve"> </v>
      </c>
      <c r="S260" t="str">
        <v>01/01/2019-12/31/9999</v>
      </c>
      <c r="T260" t="str">
        <v>Anthem California Care HMO</v>
      </c>
    </row>
    <row r="261" spans="1:20" x14ac:dyDescent="0.25">
      <c r="A261" s="3">
        <v>16265</v>
      </c>
      <c r="B261">
        <v>556319650</v>
      </c>
      <c r="C261" t="s">
        <v>211</v>
      </c>
      <c r="D261" t="s">
        <v>210</v>
      </c>
      <c r="E261" t="s">
        <v>71</v>
      </c>
      <c r="F261" s="2">
        <v>43647</v>
      </c>
      <c r="H261" t="str" cm="1">
        <f t="array" aca="1" ref="H261" ca="1">CELL("address",_xlfn.XLOOKUP(A261,Sheet1!C:C,Sheet1!C:C))</f>
        <v>[match.xlsx]Sheet1!$C$90</v>
      </c>
      <c r="I261" t="str" cm="1">
        <f t="array" ref="I261:T261">_xlfn.XLOOKUP(A261,Sheet1!C:C,Sheet1!A:L)</f>
        <v>Connor</v>
      </c>
      <c r="J261" t="str">
        <v>Therese</v>
      </c>
      <c r="K261">
        <v>16265</v>
      </c>
      <c r="L261" t="str">
        <v>330732627-SEMPRA ENERGY</v>
      </c>
      <c r="M261">
        <v>2022</v>
      </c>
      <c r="N261" t="str">
        <v>Individual is enrolled in a COBRA or Retiree plan coverage that was not sent on a current post-enrollment reporting year import</v>
      </c>
      <c r="O261" t="str">
        <v xml:space="preserve"> </v>
      </c>
      <c r="P261" t="str">
        <v xml:space="preserve"> </v>
      </c>
      <c r="Q261" s="2">
        <v>44653</v>
      </c>
      <c r="R261" s="2" t="str">
        <v xml:space="preserve"> </v>
      </c>
      <c r="S261" t="str">
        <v>07/01/2019-12/31/9999</v>
      </c>
      <c r="T261" t="str">
        <v>Anthem Select HMO</v>
      </c>
    </row>
    <row r="262" spans="1:20" x14ac:dyDescent="0.25">
      <c r="A262" s="3">
        <v>59325</v>
      </c>
      <c r="B262">
        <v>229887151</v>
      </c>
      <c r="C262" t="s">
        <v>198</v>
      </c>
      <c r="D262" t="s">
        <v>631</v>
      </c>
      <c r="E262" t="s">
        <v>24</v>
      </c>
      <c r="F262" s="2">
        <v>43435</v>
      </c>
      <c r="H262" t="str" cm="1">
        <f t="array" aca="1" ref="H262" ca="1">CELL("address",_xlfn.XLOOKUP(A262,Sheet1!C:C,Sheet1!C:C))</f>
        <v>[match.xlsx]Sheet1!$C$361</v>
      </c>
      <c r="I262" t="str" cm="1">
        <f t="array" ref="I262:T262">_xlfn.XLOOKUP(A262,Sheet1!C:C,Sheet1!A:L)</f>
        <v>Moody</v>
      </c>
      <c r="J262" t="str">
        <v>David</v>
      </c>
      <c r="K262">
        <v>59325</v>
      </c>
      <c r="L262" t="str">
        <v>951184800-SAN DIEGO GAS &amp; ELECTRIC</v>
      </c>
      <c r="M262">
        <v>2022</v>
      </c>
      <c r="N262" t="str">
        <v>Individual is enrolled in a COBRA or Retiree plan coverage that was not sent on a current post-enrollment reporting year import</v>
      </c>
      <c r="O262" t="str">
        <v xml:space="preserve"> </v>
      </c>
      <c r="P262" t="str">
        <v xml:space="preserve"> </v>
      </c>
      <c r="Q262" s="2">
        <v>44653</v>
      </c>
      <c r="R262" s="2" t="str">
        <v xml:space="preserve"> </v>
      </c>
      <c r="S262" t="str">
        <v>12/01/2018-12/31/9999</v>
      </c>
      <c r="T262" t="str">
        <v>Anthem Health Care Plus+</v>
      </c>
    </row>
    <row r="263" spans="1:20" x14ac:dyDescent="0.25">
      <c r="A263" s="3">
        <v>63236</v>
      </c>
      <c r="B263">
        <v>362828322</v>
      </c>
      <c r="C263" t="s">
        <v>41</v>
      </c>
      <c r="D263" t="s">
        <v>576</v>
      </c>
      <c r="E263" t="s">
        <v>71</v>
      </c>
      <c r="F263" s="2">
        <v>43831</v>
      </c>
      <c r="H263" t="str" cm="1">
        <f t="array" aca="1" ref="H263" ca="1">CELL("address",_xlfn.XLOOKUP(A263,Sheet1!C:C,Sheet1!C:C))</f>
        <v>[match.xlsx]Sheet1!$C$318</v>
      </c>
      <c r="I263" t="str" cm="1">
        <f t="array" ref="I263:T263">_xlfn.XLOOKUP(A263,Sheet1!C:C,Sheet1!A:L)</f>
        <v>Lynch</v>
      </c>
      <c r="J263" t="str">
        <v>Kimberly</v>
      </c>
      <c r="K263">
        <v>63236</v>
      </c>
      <c r="L263" t="str">
        <v>951240705-SO CAL GAS</v>
      </c>
      <c r="M263">
        <v>2022</v>
      </c>
      <c r="N263" t="str">
        <v>Individual is enrolled in a COBRA or Retiree plan coverage that was not sent on a current post-enrollment reporting year import</v>
      </c>
      <c r="O263" t="str">
        <v xml:space="preserve"> </v>
      </c>
      <c r="P263" t="str">
        <v xml:space="preserve"> </v>
      </c>
      <c r="Q263" s="2">
        <v>44653</v>
      </c>
      <c r="R263" s="2" t="str">
        <v xml:space="preserve"> </v>
      </c>
      <c r="S263" t="str">
        <v>01/01/2020-12/31/9999</v>
      </c>
      <c r="T263" t="str">
        <v>Anthem Select HMO</v>
      </c>
    </row>
    <row r="264" spans="1:20" x14ac:dyDescent="0.25">
      <c r="A264" s="3">
        <v>19090</v>
      </c>
      <c r="B264">
        <v>571231492</v>
      </c>
      <c r="C264" t="s">
        <v>222</v>
      </c>
      <c r="D264" t="s">
        <v>221</v>
      </c>
      <c r="E264" t="s">
        <v>24</v>
      </c>
      <c r="F264" s="2">
        <v>43282</v>
      </c>
      <c r="H264" t="str" cm="1">
        <f t="array" aca="1" ref="H264" ca="1">CELL("address",_xlfn.XLOOKUP(A264,Sheet1!C:C,Sheet1!C:C))</f>
        <v>[match.xlsx]Sheet1!$C$95</v>
      </c>
      <c r="I264" t="str" cm="1">
        <f t="array" ref="I264:T264">_xlfn.XLOOKUP(A264,Sheet1!C:C,Sheet1!A:L)</f>
        <v>Corona</v>
      </c>
      <c r="J264" t="str">
        <v>Craig</v>
      </c>
      <c r="K264">
        <v>19090</v>
      </c>
      <c r="L264" t="str">
        <v>951184800-SAN DIEGO GAS &amp; ELECTRIC</v>
      </c>
      <c r="M264">
        <v>2022</v>
      </c>
      <c r="N264" t="str">
        <v>Individual is enrolled in a COBRA or Retiree plan coverage that was not sent on a current post-enrollment reporting year import</v>
      </c>
      <c r="O264" t="str">
        <v xml:space="preserve"> </v>
      </c>
      <c r="P264" t="str">
        <v xml:space="preserve"> </v>
      </c>
      <c r="Q264" s="2">
        <v>44653</v>
      </c>
      <c r="R264" s="2" t="str">
        <v xml:space="preserve"> </v>
      </c>
      <c r="S264" t="str">
        <v>07/01/2018-12/31/9999</v>
      </c>
      <c r="T264" t="str">
        <v>Anthem Health Care Plus+</v>
      </c>
    </row>
    <row r="265" spans="1:20" x14ac:dyDescent="0.25">
      <c r="A265" s="3">
        <v>5482</v>
      </c>
      <c r="B265">
        <v>449997093</v>
      </c>
      <c r="C265" t="s">
        <v>461</v>
      </c>
      <c r="D265" t="s">
        <v>460</v>
      </c>
      <c r="E265" t="s">
        <v>71</v>
      </c>
      <c r="F265" s="2">
        <v>44013</v>
      </c>
      <c r="H265" t="str" cm="1">
        <f t="array" aca="1" ref="H265" ca="1">CELL("address",_xlfn.XLOOKUP(A265,Sheet1!C:C,Sheet1!C:C))</f>
        <v>[match.xlsx]Sheet1!$C$237</v>
      </c>
      <c r="I265" t="str" cm="1">
        <f t="array" ref="I265:T265">_xlfn.XLOOKUP(A265,Sheet1!C:C,Sheet1!A:L)</f>
        <v>Jacobs</v>
      </c>
      <c r="J265" t="str">
        <v>Silvia</v>
      </c>
      <c r="K265">
        <v>5482</v>
      </c>
      <c r="L265" t="str">
        <v>951184800-SAN DIEGO GAS &amp; ELECTRIC</v>
      </c>
      <c r="M265">
        <v>2022</v>
      </c>
      <c r="N265" t="str">
        <v>Individual is enrolled in a COBRA or Retiree plan coverage that was not sent on a current post-enrollment reporting year import</v>
      </c>
      <c r="O265" t="str">
        <v xml:space="preserve"> </v>
      </c>
      <c r="P265" t="str">
        <v xml:space="preserve"> </v>
      </c>
      <c r="Q265" s="2">
        <v>44653</v>
      </c>
      <c r="R265" s="2" t="str">
        <v xml:space="preserve"> </v>
      </c>
      <c r="S265" t="str">
        <v>07/01/2020-12/31/9999</v>
      </c>
      <c r="T265" t="str">
        <v>Anthem Select HMO</v>
      </c>
    </row>
    <row r="266" spans="1:20" x14ac:dyDescent="0.25">
      <c r="A266" s="3">
        <v>34904</v>
      </c>
      <c r="B266">
        <v>548454785</v>
      </c>
      <c r="C266" t="s">
        <v>219</v>
      </c>
      <c r="D266" t="s">
        <v>218</v>
      </c>
      <c r="E266" t="s">
        <v>31</v>
      </c>
      <c r="F266" s="2">
        <v>43709</v>
      </c>
      <c r="H266" t="str" cm="1">
        <f t="array" aca="1" ref="H266" ca="1">CELL("address",_xlfn.XLOOKUP(A266,Sheet1!C:C,Sheet1!C:C))</f>
        <v>[match.xlsx]Sheet1!$C$94</v>
      </c>
      <c r="I266" t="str" cm="1">
        <f t="array" ref="I266:T266">_xlfn.XLOOKUP(A266,Sheet1!C:C,Sheet1!A:L)</f>
        <v>Cordova</v>
      </c>
      <c r="J266" t="str">
        <v>Carolyn</v>
      </c>
      <c r="K266">
        <v>34904</v>
      </c>
      <c r="L266" t="str">
        <v>951240705-SO CAL GAS</v>
      </c>
      <c r="M266">
        <v>2022</v>
      </c>
      <c r="N266" t="str">
        <v>Individual is enrolled in a COBRA or Retiree plan coverage that was not sent on a current post-enrollment reporting year import</v>
      </c>
      <c r="O266" t="str">
        <v xml:space="preserve"> </v>
      </c>
      <c r="P266" t="str">
        <v xml:space="preserve"> </v>
      </c>
      <c r="Q266" s="2">
        <v>44653</v>
      </c>
      <c r="R266" s="2" t="str">
        <v xml:space="preserve"> </v>
      </c>
      <c r="S266" t="str">
        <v>09/01/2019-12/31/9999</v>
      </c>
      <c r="T266" t="str">
        <v>Anthem California Care HMO</v>
      </c>
    </row>
    <row r="267" spans="1:20" x14ac:dyDescent="0.25">
      <c r="A267" s="3">
        <v>33875</v>
      </c>
      <c r="B267">
        <v>547088710</v>
      </c>
      <c r="C267" t="s">
        <v>106</v>
      </c>
      <c r="D267" t="s">
        <v>62</v>
      </c>
      <c r="E267" t="s">
        <v>71</v>
      </c>
      <c r="F267" s="2">
        <v>43831</v>
      </c>
      <c r="H267" t="str" cm="1">
        <f t="array" aca="1" ref="H267" ca="1">CELL("address",_xlfn.XLOOKUP(A267,Sheet1!C:C,Sheet1!C:C))</f>
        <v>[match.xlsx]Sheet1!$C$574</v>
      </c>
      <c r="I267" t="str" cm="1">
        <f t="array" ref="I267:T267">_xlfn.XLOOKUP(A267,Sheet1!C:C,Sheet1!A:L)</f>
        <v>Willis</v>
      </c>
      <c r="J267" t="str">
        <v>Randy</v>
      </c>
      <c r="K267">
        <v>33875</v>
      </c>
      <c r="L267" t="str">
        <v>951240705-SO CAL GAS</v>
      </c>
      <c r="M267">
        <v>2022</v>
      </c>
      <c r="N267" t="str">
        <v>Individual is enrolled in a COBRA or Retiree plan coverage that was not sent on a current post-enrollment reporting year import</v>
      </c>
      <c r="O267" t="str">
        <v xml:space="preserve"> </v>
      </c>
      <c r="P267" t="str">
        <v xml:space="preserve"> </v>
      </c>
      <c r="Q267" s="2">
        <v>44653</v>
      </c>
      <c r="R267" s="2" t="str">
        <v xml:space="preserve"> </v>
      </c>
      <c r="S267" t="str">
        <v>01/01/2020-12/31/9999</v>
      </c>
      <c r="T267" t="str">
        <v>Anthem Select HMO</v>
      </c>
    </row>
    <row r="268" spans="1:20" x14ac:dyDescent="0.25">
      <c r="A268" s="3">
        <v>47174</v>
      </c>
      <c r="B268">
        <v>563865802</v>
      </c>
      <c r="C268" t="s">
        <v>1039</v>
      </c>
      <c r="D268" t="s">
        <v>1152</v>
      </c>
      <c r="E268" t="s">
        <v>966</v>
      </c>
      <c r="F268" s="2">
        <v>43617</v>
      </c>
      <c r="H268" t="str" cm="1">
        <f t="array" aca="1" ref="H268" ca="1">CELL("address",_xlfn.XLOOKUP(A268,Sheet1!C:C,Sheet1!C:C))</f>
        <v>[match.xlsx]Sheet1!$C$121</v>
      </c>
      <c r="I268" t="str" cm="1">
        <f t="array" ref="I268:T268">_xlfn.XLOOKUP(A268,Sheet1!C:C,Sheet1!A:L)</f>
        <v>Dozier</v>
      </c>
      <c r="J268" t="str">
        <v>Michael</v>
      </c>
      <c r="K268">
        <v>47174</v>
      </c>
      <c r="L268" t="str">
        <v>951240705-SO CAL GAS</v>
      </c>
      <c r="M268">
        <v>2022</v>
      </c>
      <c r="N268" t="str">
        <v>Individual is enrolled in a COBRA or Retiree plan coverage that was not sent on a current post-enrollment reporting year import</v>
      </c>
      <c r="O268" t="str">
        <v xml:space="preserve"> </v>
      </c>
      <c r="P268" t="str">
        <v xml:space="preserve"> </v>
      </c>
      <c r="Q268" s="2">
        <v>44653</v>
      </c>
      <c r="R268" s="2" t="str">
        <v xml:space="preserve"> </v>
      </c>
      <c r="S268" t="str">
        <v>01/01/2019-12/31/9999</v>
      </c>
      <c r="T268" t="str">
        <v>Anthem Select HMO</v>
      </c>
    </row>
    <row r="269" spans="1:20" x14ac:dyDescent="0.25">
      <c r="A269" s="3">
        <v>10069</v>
      </c>
      <c r="B269">
        <v>557619327</v>
      </c>
      <c r="C269" t="s">
        <v>127</v>
      </c>
      <c r="D269" t="s">
        <v>551</v>
      </c>
      <c r="E269" t="s">
        <v>24</v>
      </c>
      <c r="F269" s="2">
        <v>43922</v>
      </c>
      <c r="H269" t="str" cm="1">
        <f t="array" aca="1" ref="H269" ca="1">CELL("address",_xlfn.XLOOKUP(A269,Sheet1!C:C,Sheet1!C:C))</f>
        <v>[match.xlsx]Sheet1!$C$301</v>
      </c>
      <c r="I269" t="str" cm="1">
        <f t="array" ref="I269:T269">_xlfn.XLOOKUP(A269,Sheet1!C:C,Sheet1!A:L)</f>
        <v>Liles</v>
      </c>
      <c r="J269" t="str">
        <v>Chris</v>
      </c>
      <c r="K269">
        <v>10069</v>
      </c>
      <c r="L269" t="str">
        <v>951184800-SAN DIEGO GAS &amp; ELECTRIC</v>
      </c>
      <c r="M269">
        <v>2022</v>
      </c>
      <c r="N269" t="str">
        <v>Individual is enrolled in a COBRA or Retiree plan coverage that was not sent on a current post-enrollment reporting year import</v>
      </c>
      <c r="O269" t="str">
        <v xml:space="preserve"> </v>
      </c>
      <c r="P269" t="str">
        <v xml:space="preserve"> </v>
      </c>
      <c r="Q269" s="2">
        <v>44653</v>
      </c>
      <c r="R269" s="2" t="str">
        <v xml:space="preserve"> </v>
      </c>
      <c r="S269" t="str">
        <v>04/01/2020-12/31/9999</v>
      </c>
      <c r="T269" t="str">
        <v>Anthem Health Care Plus+</v>
      </c>
    </row>
    <row r="270" spans="1:20" x14ac:dyDescent="0.25">
      <c r="A270" s="3">
        <v>92422</v>
      </c>
      <c r="B270">
        <v>563317948</v>
      </c>
      <c r="C270" t="s">
        <v>887</v>
      </c>
      <c r="D270" t="s">
        <v>886</v>
      </c>
      <c r="E270" t="s">
        <v>71</v>
      </c>
      <c r="F270" s="2">
        <v>43862</v>
      </c>
      <c r="H270" t="str" cm="1">
        <f t="array" aca="1" ref="H270" ca="1">CELL("address",_xlfn.XLOOKUP(A270,Sheet1!C:C,Sheet1!C:C))</f>
        <v>[match.xlsx]Sheet1!$C$567</v>
      </c>
      <c r="I270" t="str" cm="1">
        <f t="array" ref="I270:T270">_xlfn.XLOOKUP(A270,Sheet1!C:C,Sheet1!A:L)</f>
        <v>Welisch-Samuelson</v>
      </c>
      <c r="J270" t="str">
        <v>Gina</v>
      </c>
      <c r="K270">
        <v>92422</v>
      </c>
      <c r="L270" t="str">
        <v>951184800-SAN DIEGO GAS &amp; ELECTRIC</v>
      </c>
      <c r="M270">
        <v>2022</v>
      </c>
      <c r="N270" t="str">
        <v>Individual is enrolled in a COBRA or Retiree plan coverage that was not sent on a current post-enrollment reporting year import</v>
      </c>
      <c r="O270" t="str">
        <v xml:space="preserve"> </v>
      </c>
      <c r="P270" t="str">
        <v xml:space="preserve"> </v>
      </c>
      <c r="Q270" s="2">
        <v>44653</v>
      </c>
      <c r="R270" s="2" t="str">
        <v xml:space="preserve"> </v>
      </c>
      <c r="S270" t="str">
        <v>02/01/2020-12/31/9999</v>
      </c>
      <c r="T270" t="str">
        <v>Anthem Select HMO</v>
      </c>
    </row>
    <row r="271" spans="1:20" x14ac:dyDescent="0.25">
      <c r="A271" s="3">
        <v>55121</v>
      </c>
      <c r="B271">
        <v>571026242</v>
      </c>
      <c r="C271" t="s">
        <v>998</v>
      </c>
      <c r="D271" t="s">
        <v>1153</v>
      </c>
      <c r="E271" t="s">
        <v>969</v>
      </c>
      <c r="F271" s="2">
        <v>43983</v>
      </c>
      <c r="H271" t="str" cm="1">
        <f t="array" aca="1" ref="H271" ca="1">CELL("address",_xlfn.XLOOKUP(A271,Sheet1!C:C,Sheet1!C:C))</f>
        <v>[match.xlsx]Sheet1!$C$335</v>
      </c>
      <c r="I271" t="str" cm="1">
        <f t="array" ref="I271:T271">_xlfn.XLOOKUP(A271,Sheet1!C:C,Sheet1!A:L)</f>
        <v>Mc Clintock</v>
      </c>
      <c r="J271" t="str">
        <v>William</v>
      </c>
      <c r="K271">
        <v>55121</v>
      </c>
      <c r="L271" t="str">
        <v>951184800-SAN DIEGO GAS &amp; ELECTRIC</v>
      </c>
      <c r="M271">
        <v>2022</v>
      </c>
      <c r="N271" t="str">
        <v>Individual is enrolled in a COBRA or Retiree plan coverage that was not sent on a current post-enrollment reporting year import</v>
      </c>
      <c r="O271" t="str">
        <v xml:space="preserve"> </v>
      </c>
      <c r="P271" t="str">
        <v xml:space="preserve"> </v>
      </c>
      <c r="Q271" s="2">
        <v>44653</v>
      </c>
      <c r="R271" s="2" t="str">
        <v xml:space="preserve"> </v>
      </c>
      <c r="S271" t="str">
        <v>01/01/2019-12/31/9999</v>
      </c>
      <c r="T271" t="str">
        <v>Anthem Health Care Plus+</v>
      </c>
    </row>
    <row r="272" spans="1:20" x14ac:dyDescent="0.25">
      <c r="A272" s="3">
        <v>60112</v>
      </c>
      <c r="B272">
        <v>616056691</v>
      </c>
      <c r="C272" t="s">
        <v>1154</v>
      </c>
      <c r="D272" t="s">
        <v>1155</v>
      </c>
      <c r="E272" t="s">
        <v>24</v>
      </c>
      <c r="F272" s="2">
        <v>44044</v>
      </c>
      <c r="H272" t="str" cm="1">
        <f t="array" aca="1" ref="H272" ca="1">CELL("address",_xlfn.XLOOKUP(A272,Sheet1!C:C,Sheet1!C:C))</f>
        <v>[match.xlsx]Sheet1!$C$144</v>
      </c>
      <c r="I272" t="str" cm="1">
        <f t="array" ref="I272:T272">_xlfn.XLOOKUP(A272,Sheet1!C:C,Sheet1!A:L)</f>
        <v>Ferro</v>
      </c>
      <c r="J272" t="str">
        <v>Felipe</v>
      </c>
      <c r="K272">
        <v>60112</v>
      </c>
      <c r="L272" t="str">
        <v>951240705-SO CAL GAS</v>
      </c>
      <c r="M272">
        <v>2022</v>
      </c>
      <c r="N272" t="str">
        <v>Individual is enrolled in a COBRA or Retiree plan coverage that was not sent on a current post-enrollment reporting year import</v>
      </c>
      <c r="O272" t="str">
        <v xml:space="preserve"> </v>
      </c>
      <c r="P272" t="str">
        <v xml:space="preserve"> </v>
      </c>
      <c r="Q272" s="2">
        <v>44653</v>
      </c>
      <c r="R272" s="2" t="str">
        <v xml:space="preserve"> </v>
      </c>
      <c r="S272" t="str">
        <v>08/01/2020-12/31/9999</v>
      </c>
      <c r="T272" t="str">
        <v>Anthem Health Care Plus+</v>
      </c>
    </row>
    <row r="273" spans="1:20" x14ac:dyDescent="0.25">
      <c r="A273" s="3">
        <v>43264</v>
      </c>
      <c r="B273">
        <v>559239388</v>
      </c>
      <c r="C273" t="s">
        <v>1156</v>
      </c>
      <c r="D273" t="s">
        <v>1157</v>
      </c>
      <c r="E273" t="s">
        <v>31</v>
      </c>
      <c r="F273" s="2">
        <v>43101</v>
      </c>
      <c r="H273" t="str" cm="1">
        <f t="array" aca="1" ref="H273" ca="1">CELL("address",_xlfn.XLOOKUP(A273,Sheet1!C:C,Sheet1!C:C))</f>
        <v>[match.xlsx]Sheet1!$C$482</v>
      </c>
      <c r="I273" t="str" cm="1">
        <f t="array" ref="I273:T273">_xlfn.XLOOKUP(A273,Sheet1!C:C,Sheet1!A:L)</f>
        <v>See</v>
      </c>
      <c r="J273" t="str">
        <v>Charles</v>
      </c>
      <c r="K273">
        <v>43264</v>
      </c>
      <c r="L273" t="str">
        <v>951240705-SO CAL GAS</v>
      </c>
      <c r="M273">
        <v>2022</v>
      </c>
      <c r="N273" t="str">
        <v>Individual is enrolled in a COBRA or Retiree plan coverage that was not sent on a current post-enrollment reporting year import</v>
      </c>
      <c r="O273" t="str">
        <v xml:space="preserve"> </v>
      </c>
      <c r="P273" t="str">
        <v xml:space="preserve"> </v>
      </c>
      <c r="Q273" s="2">
        <v>44653</v>
      </c>
      <c r="R273" s="2" t="str">
        <v xml:space="preserve"> </v>
      </c>
      <c r="S273" t="str">
        <v>01/01/2018-12/31/9999</v>
      </c>
      <c r="T273" t="str">
        <v>Anthem California Care HMO</v>
      </c>
    </row>
    <row r="274" spans="1:20" x14ac:dyDescent="0.25">
      <c r="A274" s="3">
        <v>38639</v>
      </c>
      <c r="B274">
        <v>553137828</v>
      </c>
      <c r="C274" t="s">
        <v>103</v>
      </c>
      <c r="D274" t="s">
        <v>239</v>
      </c>
      <c r="E274" t="s">
        <v>24</v>
      </c>
      <c r="F274" s="2">
        <v>43556</v>
      </c>
      <c r="H274" t="str" cm="1">
        <f t="array" aca="1" ref="H274" ca="1">CELL("address",_xlfn.XLOOKUP(A274,Sheet1!C:C,Sheet1!C:C))</f>
        <v>[match.xlsx]Sheet1!$C$103</v>
      </c>
      <c r="I274" t="str" cm="1">
        <f t="array" ref="I274:T274">_xlfn.XLOOKUP(A274,Sheet1!C:C,Sheet1!A:L)</f>
        <v>Cummings</v>
      </c>
      <c r="J274" t="str">
        <v>Michael</v>
      </c>
      <c r="K274">
        <v>38639</v>
      </c>
      <c r="L274" t="str">
        <v>951240705-SO CAL GAS</v>
      </c>
      <c r="M274">
        <v>2022</v>
      </c>
      <c r="N274" t="str">
        <v>Individual is enrolled in a COBRA or Retiree plan coverage that was not sent on a current post-enrollment reporting year import</v>
      </c>
      <c r="O274" t="str">
        <v xml:space="preserve"> </v>
      </c>
      <c r="P274" t="str">
        <v xml:space="preserve"> </v>
      </c>
      <c r="Q274" s="2">
        <v>44653</v>
      </c>
      <c r="R274" s="2" t="str">
        <v xml:space="preserve"> </v>
      </c>
      <c r="S274" t="str">
        <v>04/01/2019-12/31/9999</v>
      </c>
      <c r="T274" t="str">
        <v>Anthem Health Care Plus+</v>
      </c>
    </row>
    <row r="275" spans="1:20" x14ac:dyDescent="0.25">
      <c r="A275" s="3">
        <v>97752</v>
      </c>
      <c r="B275">
        <v>558782045</v>
      </c>
      <c r="C275" t="s">
        <v>1125</v>
      </c>
      <c r="D275" t="s">
        <v>1158</v>
      </c>
      <c r="E275" t="s">
        <v>969</v>
      </c>
      <c r="F275" s="2">
        <v>43586</v>
      </c>
      <c r="H275" t="str" cm="1">
        <f t="array" aca="1" ref="H275" ca="1">CELL("address",_xlfn.XLOOKUP(A275,Sheet1!C:C,Sheet1!C:C))</f>
        <v>[match.xlsx]Sheet1!$C$154</v>
      </c>
      <c r="I275" t="str" cm="1">
        <f t="array" ref="I275:T275">_xlfn.XLOOKUP(A275,Sheet1!C:C,Sheet1!A:L)</f>
        <v>Fong</v>
      </c>
      <c r="J275" t="str">
        <v>Edward</v>
      </c>
      <c r="K275">
        <v>97752</v>
      </c>
      <c r="L275" t="str">
        <v>951240705-SO CAL GAS</v>
      </c>
      <c r="M275">
        <v>2022</v>
      </c>
      <c r="N275" t="str">
        <v>Individual is enrolled in a COBRA or Retiree plan coverage that was not sent on a current post-enrollment reporting year import</v>
      </c>
      <c r="O275" t="str">
        <v xml:space="preserve"> </v>
      </c>
      <c r="P275" t="str">
        <v xml:space="preserve"> </v>
      </c>
      <c r="Q275" s="2">
        <v>44653</v>
      </c>
      <c r="R275" s="2" t="str">
        <v xml:space="preserve"> </v>
      </c>
      <c r="S275" t="str">
        <v>01/01/2019-12/31/9999</v>
      </c>
      <c r="T275" t="str">
        <v>Anthem Health Care Plus+</v>
      </c>
    </row>
    <row r="276" spans="1:20" x14ac:dyDescent="0.25">
      <c r="A276" s="3">
        <v>54544</v>
      </c>
      <c r="B276">
        <v>511705285</v>
      </c>
      <c r="C276" t="s">
        <v>1030</v>
      </c>
      <c r="D276" t="s">
        <v>1159</v>
      </c>
      <c r="E276" t="s">
        <v>46</v>
      </c>
      <c r="F276" s="2">
        <v>43831</v>
      </c>
      <c r="H276" t="str" cm="1">
        <f t="array" aca="1" ref="H276" ca="1">CELL("address",_xlfn.XLOOKUP(A276,Sheet1!C:C,Sheet1!C:C))</f>
        <v>[match.xlsx]Sheet1!$C$333</v>
      </c>
      <c r="I276" t="str" cm="1">
        <f t="array" ref="I276:T276">_xlfn.XLOOKUP(A276,Sheet1!C:C,Sheet1!A:L)</f>
        <v>Mayberry</v>
      </c>
      <c r="J276" t="str">
        <v>John</v>
      </c>
      <c r="K276">
        <v>54544</v>
      </c>
      <c r="L276" t="str">
        <v>951184800-SAN DIEGO GAS &amp; ELECTRIC</v>
      </c>
      <c r="M276">
        <v>2022</v>
      </c>
      <c r="N276" t="str">
        <v>Individual is enrolled in a COBRA or Retiree plan coverage that was not sent on a current post-enrollment reporting year import</v>
      </c>
      <c r="O276" t="str">
        <v xml:space="preserve"> </v>
      </c>
      <c r="P276" t="str">
        <v xml:space="preserve"> </v>
      </c>
      <c r="Q276" s="2">
        <v>44653</v>
      </c>
      <c r="R276" s="2" t="str">
        <v xml:space="preserve"> </v>
      </c>
      <c r="S276" t="str">
        <v>01/01/2020-12/31/9999</v>
      </c>
      <c r="T276" t="str">
        <v>Anthem PPO Out-of-CA</v>
      </c>
    </row>
    <row r="277" spans="1:20" x14ac:dyDescent="0.25">
      <c r="A277" s="3">
        <v>37642</v>
      </c>
      <c r="B277">
        <v>558118669</v>
      </c>
      <c r="C277" t="s">
        <v>39</v>
      </c>
      <c r="D277" t="s">
        <v>431</v>
      </c>
      <c r="E277" t="s">
        <v>71</v>
      </c>
      <c r="F277" s="2">
        <v>43344</v>
      </c>
      <c r="H277" t="str" cm="1">
        <f t="array" aca="1" ref="H277" ca="1">CELL("address",_xlfn.XLOOKUP(A277,Sheet1!C:C,Sheet1!C:C))</f>
        <v>[match.xlsx]Sheet1!$C$217</v>
      </c>
      <c r="I277" t="str" cm="1">
        <f t="array" ref="I277:T277">_xlfn.XLOOKUP(A277,Sheet1!C:C,Sheet1!A:L)</f>
        <v>Hernandez</v>
      </c>
      <c r="J277" t="str">
        <v>Enrique</v>
      </c>
      <c r="K277">
        <v>37642</v>
      </c>
      <c r="L277" t="str">
        <v>951184800-SAN DIEGO GAS &amp; ELECTRIC</v>
      </c>
      <c r="M277">
        <v>2022</v>
      </c>
      <c r="N277" t="str">
        <v>Individual is enrolled in a COBRA or Retiree plan coverage that was not sent on a current post-enrollment reporting year import</v>
      </c>
      <c r="O277" t="str">
        <v xml:space="preserve"> </v>
      </c>
      <c r="P277" t="str">
        <v xml:space="preserve"> </v>
      </c>
      <c r="Q277" s="2">
        <v>44653</v>
      </c>
      <c r="R277" s="2" t="str">
        <v xml:space="preserve"> </v>
      </c>
      <c r="S277" t="str">
        <v>09/01/2018-12/31/9999</v>
      </c>
      <c r="T277" t="str">
        <v>Anthem Select HMO</v>
      </c>
    </row>
    <row r="278" spans="1:20" x14ac:dyDescent="0.25">
      <c r="A278" s="3">
        <v>22876</v>
      </c>
      <c r="B278">
        <v>586540026</v>
      </c>
      <c r="C278" t="s">
        <v>1160</v>
      </c>
      <c r="D278" t="s">
        <v>1161</v>
      </c>
      <c r="E278" t="s">
        <v>969</v>
      </c>
      <c r="F278" s="2">
        <v>43678</v>
      </c>
      <c r="H278" t="str" cm="1">
        <f t="array" aca="1" ref="H278" ca="1">CELL("address",_xlfn.XLOOKUP(A278,Sheet1!C:C,Sheet1!C:C))</f>
        <v>[match.xlsx]Sheet1!$C$116</v>
      </c>
      <c r="I278" t="str" cm="1">
        <f t="array" ref="I278:T278">_xlfn.XLOOKUP(A278,Sheet1!C:C,Sheet1!A:L)</f>
        <v>Dinh</v>
      </c>
      <c r="J278" t="str">
        <v>Nam</v>
      </c>
      <c r="K278">
        <v>22876</v>
      </c>
      <c r="L278" t="str">
        <v>951240705-SO CAL GAS</v>
      </c>
      <c r="M278">
        <v>2022</v>
      </c>
      <c r="N278" t="str">
        <v>Individual is enrolled in a COBRA or Retiree plan coverage that was not sent on a current post-enrollment reporting year import</v>
      </c>
      <c r="O278" t="str">
        <v xml:space="preserve"> </v>
      </c>
      <c r="P278" t="str">
        <v xml:space="preserve"> </v>
      </c>
      <c r="Q278" s="2">
        <v>44653</v>
      </c>
      <c r="R278" s="2" t="str">
        <v xml:space="preserve"> </v>
      </c>
      <c r="S278" t="str">
        <v>01/01/2019-12/31/9999</v>
      </c>
      <c r="T278" t="str">
        <v>Anthem Select HMO</v>
      </c>
    </row>
    <row r="279" spans="1:20" x14ac:dyDescent="0.25">
      <c r="A279" s="3">
        <v>8641</v>
      </c>
      <c r="B279">
        <v>561156684</v>
      </c>
      <c r="C279" t="s">
        <v>939</v>
      </c>
      <c r="D279" t="s">
        <v>1162</v>
      </c>
      <c r="E279" t="s">
        <v>71</v>
      </c>
      <c r="F279" s="2">
        <v>43101</v>
      </c>
      <c r="H279" t="str" cm="1">
        <f t="array" aca="1" ref="H279" ca="1">CELL("address",_xlfn.XLOOKUP(A279,Sheet1!C:C,Sheet1!C:C))</f>
        <v>[match.xlsx]Sheet1!$C$236</v>
      </c>
      <c r="I279" t="str" cm="1">
        <f t="array" ref="I279:T279">_xlfn.XLOOKUP(A279,Sheet1!C:C,Sheet1!A:L)</f>
        <v>Jacobs</v>
      </c>
      <c r="J279" t="str">
        <v>Patricia</v>
      </c>
      <c r="K279">
        <v>8641</v>
      </c>
      <c r="L279" t="str">
        <v>951184800-SAN DIEGO GAS &amp; ELECTRIC</v>
      </c>
      <c r="M279">
        <v>2022</v>
      </c>
      <c r="N279" t="str">
        <v>Individual is enrolled in a COBRA or Retiree plan coverage that was not sent on a current post-enrollment reporting year import</v>
      </c>
      <c r="O279" t="str">
        <v xml:space="preserve"> </v>
      </c>
      <c r="P279" t="str">
        <v xml:space="preserve"> </v>
      </c>
      <c r="Q279" s="2">
        <v>44653</v>
      </c>
      <c r="R279" s="2" t="str">
        <v xml:space="preserve"> </v>
      </c>
      <c r="S279" t="str">
        <v>01/01/2018-12/31/9999</v>
      </c>
      <c r="T279" t="str">
        <v>Anthem Select HMO</v>
      </c>
    </row>
    <row r="280" spans="1:20" x14ac:dyDescent="0.25">
      <c r="A280" s="3">
        <v>59145</v>
      </c>
      <c r="B280">
        <v>68447144</v>
      </c>
      <c r="C280" t="s">
        <v>234</v>
      </c>
      <c r="D280" t="s">
        <v>626</v>
      </c>
      <c r="E280" t="s">
        <v>969</v>
      </c>
      <c r="F280" s="2">
        <v>43344</v>
      </c>
      <c r="H280" t="str" cm="1">
        <f t="array" aca="1" ref="H280" ca="1">CELL("address",_xlfn.XLOOKUP(A280,Sheet1!C:C,Sheet1!C:C))</f>
        <v>[match.xlsx]Sheet1!$C$357</v>
      </c>
      <c r="I280" t="str" cm="1">
        <f t="array" ref="I280:T280">_xlfn.XLOOKUP(A280,Sheet1!C:C,Sheet1!A:L)</f>
        <v>Mohr</v>
      </c>
      <c r="J280" t="str">
        <v>Susan</v>
      </c>
      <c r="K280">
        <v>59145</v>
      </c>
      <c r="L280" t="str">
        <v>951184800-SAN DIEGO GAS &amp; ELECTRIC</v>
      </c>
      <c r="M280">
        <v>2022</v>
      </c>
      <c r="N280" t="str">
        <v>Individual is enrolled in a COBRA or Retiree plan coverage that was not sent on a current post-enrollment reporting year import</v>
      </c>
      <c r="O280" t="str">
        <v xml:space="preserve"> </v>
      </c>
      <c r="P280" t="str">
        <v xml:space="preserve"> </v>
      </c>
      <c r="Q280" s="2">
        <v>44653</v>
      </c>
      <c r="R280" s="2" t="str">
        <v xml:space="preserve"> </v>
      </c>
      <c r="S280" t="str">
        <v>01/01/2018-12/31/9999</v>
      </c>
      <c r="T280" t="str">
        <v>Anthem Health Care Plus+</v>
      </c>
    </row>
    <row r="281" spans="1:20" x14ac:dyDescent="0.25">
      <c r="A281" s="3">
        <v>37274</v>
      </c>
      <c r="B281">
        <v>551278968</v>
      </c>
      <c r="C281" t="s">
        <v>721</v>
      </c>
      <c r="D281" t="s">
        <v>720</v>
      </c>
      <c r="E281" t="s">
        <v>71</v>
      </c>
      <c r="F281" s="2">
        <v>43678</v>
      </c>
      <c r="H281" t="str" cm="1">
        <f t="array" aca="1" ref="H281" ca="1">CELL("address",_xlfn.XLOOKUP(A281,Sheet1!C:C,Sheet1!C:C))</f>
        <v>[match.xlsx]Sheet1!$C$430</v>
      </c>
      <c r="I281" t="str" cm="1">
        <f t="array" ref="I281:T281">_xlfn.XLOOKUP(A281,Sheet1!C:C,Sheet1!A:L)</f>
        <v>Redondo</v>
      </c>
      <c r="J281" t="str">
        <v>Rachel</v>
      </c>
      <c r="K281">
        <v>37274</v>
      </c>
      <c r="L281" t="str">
        <v>951240705-SO CAL GAS</v>
      </c>
      <c r="M281">
        <v>2022</v>
      </c>
      <c r="N281" t="str">
        <v>Individual is enrolled in a COBRA or Retiree plan coverage that was not sent on a current post-enrollment reporting year import</v>
      </c>
      <c r="O281" t="str">
        <v xml:space="preserve"> </v>
      </c>
      <c r="P281" t="str">
        <v xml:space="preserve"> </v>
      </c>
      <c r="Q281" s="2">
        <v>44653</v>
      </c>
      <c r="R281" s="2" t="str">
        <v xml:space="preserve"> </v>
      </c>
      <c r="S281" t="str">
        <v>08/01/2019-12/31/9999</v>
      </c>
      <c r="T281" t="str">
        <v>Anthem Select HMO</v>
      </c>
    </row>
    <row r="282" spans="1:20" x14ac:dyDescent="0.25">
      <c r="A282" s="3">
        <v>46723</v>
      </c>
      <c r="B282">
        <v>563236327</v>
      </c>
      <c r="C282" t="s">
        <v>207</v>
      </c>
      <c r="D282" t="s">
        <v>418</v>
      </c>
      <c r="E282" t="s">
        <v>31</v>
      </c>
      <c r="F282" s="2">
        <v>43709</v>
      </c>
      <c r="H282" t="str" cm="1">
        <f t="array" aca="1" ref="H282" ca="1">CELL("address",_xlfn.XLOOKUP(A282,Sheet1!C:C,Sheet1!C:C))</f>
        <v>[match.xlsx]Sheet1!$C$207</v>
      </c>
      <c r="I282" t="str" cm="1">
        <f t="array" ref="I282:T282">_xlfn.XLOOKUP(A282,Sheet1!C:C,Sheet1!A:L)</f>
        <v>Harutunian</v>
      </c>
      <c r="J282" t="str">
        <v>Martin</v>
      </c>
      <c r="K282">
        <v>46723</v>
      </c>
      <c r="L282" t="str">
        <v>951240705-SO CAL GAS</v>
      </c>
      <c r="M282">
        <v>2022</v>
      </c>
      <c r="N282" t="str">
        <v>Individual is enrolled in a COBRA or Retiree plan coverage that was not sent on a current post-enrollment reporting year import</v>
      </c>
      <c r="O282" t="str">
        <v xml:space="preserve"> </v>
      </c>
      <c r="P282" t="str">
        <v xml:space="preserve"> </v>
      </c>
      <c r="Q282" s="2">
        <v>44653</v>
      </c>
      <c r="R282" s="2" t="str">
        <v xml:space="preserve"> </v>
      </c>
      <c r="S282" t="str">
        <v>09/01/2019-12/31/9999</v>
      </c>
      <c r="T282" t="str">
        <v>Anthem California Care HMO</v>
      </c>
    </row>
    <row r="283" spans="1:20" x14ac:dyDescent="0.25">
      <c r="A283" s="3">
        <v>62414</v>
      </c>
      <c r="B283">
        <v>551616981</v>
      </c>
      <c r="C283" t="s">
        <v>103</v>
      </c>
      <c r="D283" t="s">
        <v>918</v>
      </c>
      <c r="E283" t="s">
        <v>24</v>
      </c>
      <c r="F283" s="2">
        <v>43922</v>
      </c>
      <c r="H283" t="str" cm="1">
        <f t="array" aca="1" ref="H283" ca="1">CELL("address",_xlfn.XLOOKUP(A283,Sheet1!C:C,Sheet1!C:C))</f>
        <v>[match.xlsx]Sheet1!$C$588</v>
      </c>
      <c r="I283" t="str" cm="1">
        <f t="array" ref="I283:T283">_xlfn.XLOOKUP(A283,Sheet1!C:C,Sheet1!A:L)</f>
        <v>Wyman</v>
      </c>
      <c r="J283" t="str">
        <v>Michael</v>
      </c>
      <c r="K283">
        <v>62414</v>
      </c>
      <c r="L283" t="str">
        <v>951240705-SO CAL GAS</v>
      </c>
      <c r="M283">
        <v>2022</v>
      </c>
      <c r="N283" t="str">
        <v>Individual is enrolled in a COBRA or Retiree plan coverage that was not sent on a current post-enrollment reporting year import</v>
      </c>
      <c r="O283" t="str">
        <v xml:space="preserve"> </v>
      </c>
      <c r="P283" t="str">
        <v xml:space="preserve"> </v>
      </c>
      <c r="Q283" s="2">
        <v>44653</v>
      </c>
      <c r="R283" s="2" t="str">
        <v xml:space="preserve"> </v>
      </c>
      <c r="S283" t="str">
        <v>04/01/2020-12/31/9999</v>
      </c>
      <c r="T283" t="str">
        <v>Anthem Health Care Plus+</v>
      </c>
    </row>
    <row r="284" spans="1:20" x14ac:dyDescent="0.25">
      <c r="A284" s="3">
        <v>45061</v>
      </c>
      <c r="B284">
        <v>561271838</v>
      </c>
      <c r="C284" t="s">
        <v>175</v>
      </c>
      <c r="D284" t="s">
        <v>709</v>
      </c>
      <c r="E284" t="s">
        <v>71</v>
      </c>
      <c r="F284" s="2">
        <v>43952</v>
      </c>
      <c r="H284" t="str" cm="1">
        <f t="array" aca="1" ref="H284" ca="1">CELL("address",_xlfn.XLOOKUP(A284,Sheet1!C:C,Sheet1!C:C))</f>
        <v>[match.xlsx]Sheet1!$C$421</v>
      </c>
      <c r="I284" t="str" cm="1">
        <f t="array" ref="I284:T284">_xlfn.XLOOKUP(A284,Sheet1!C:C,Sheet1!A:L)</f>
        <v>Pope</v>
      </c>
      <c r="J284" t="str">
        <v>Russell</v>
      </c>
      <c r="K284">
        <v>45061</v>
      </c>
      <c r="L284" t="str">
        <v>951240705-SO CAL GAS</v>
      </c>
      <c r="M284">
        <v>2022</v>
      </c>
      <c r="N284" t="str">
        <v>Individual is enrolled in a COBRA or Retiree plan coverage that was not sent on a current post-enrollment reporting year import</v>
      </c>
      <c r="O284" t="str">
        <v xml:space="preserve"> </v>
      </c>
      <c r="P284" t="str">
        <v xml:space="preserve"> </v>
      </c>
      <c r="Q284" s="2">
        <v>44653</v>
      </c>
      <c r="R284" s="2" t="str">
        <v xml:space="preserve"> </v>
      </c>
      <c r="S284" t="str">
        <v>05/01/2020-12/31/9999</v>
      </c>
      <c r="T284" t="str">
        <v>Anthem Select HMO</v>
      </c>
    </row>
    <row r="285" spans="1:20" x14ac:dyDescent="0.25">
      <c r="A285" s="3">
        <v>491</v>
      </c>
      <c r="B285">
        <v>563259300</v>
      </c>
      <c r="C285" t="s">
        <v>519</v>
      </c>
      <c r="D285" t="s">
        <v>819</v>
      </c>
      <c r="E285" t="s">
        <v>71</v>
      </c>
      <c r="F285" s="2">
        <v>43739</v>
      </c>
      <c r="H285" t="str" cm="1">
        <f t="array" aca="1" ref="H285" ca="1">CELL("address",_xlfn.XLOOKUP(A285,Sheet1!C:C,Sheet1!C:C))</f>
        <v>[match.xlsx]Sheet1!$C$519</v>
      </c>
      <c r="I285" t="str" cm="1">
        <f t="array" ref="I285:T285">_xlfn.XLOOKUP(A285,Sheet1!C:C,Sheet1!A:L)</f>
        <v>Stielau</v>
      </c>
      <c r="J285" t="str">
        <v>James</v>
      </c>
      <c r="K285">
        <v>491</v>
      </c>
      <c r="L285" t="str">
        <v>951184800-SAN DIEGO GAS &amp; ELECTRIC</v>
      </c>
      <c r="M285">
        <v>2022</v>
      </c>
      <c r="N285" t="str">
        <v>Individual is enrolled in a COBRA or Retiree plan coverage that was not sent on a current post-enrollment reporting year import</v>
      </c>
      <c r="O285" t="str">
        <v xml:space="preserve"> </v>
      </c>
      <c r="P285" t="str">
        <v xml:space="preserve"> </v>
      </c>
      <c r="Q285" s="2">
        <v>44653</v>
      </c>
      <c r="R285" s="2" t="str">
        <v xml:space="preserve"> </v>
      </c>
      <c r="S285" t="str">
        <v>10/01/2019-12/31/9999</v>
      </c>
      <c r="T285" t="str">
        <v>Anthem Select HMO</v>
      </c>
    </row>
    <row r="286" spans="1:20" x14ac:dyDescent="0.25">
      <c r="A286" s="3">
        <v>26018</v>
      </c>
      <c r="B286">
        <v>121527947</v>
      </c>
      <c r="C286" t="s">
        <v>1163</v>
      </c>
      <c r="D286" t="s">
        <v>1164</v>
      </c>
      <c r="E286" t="s">
        <v>24</v>
      </c>
      <c r="F286" s="2">
        <v>43344</v>
      </c>
      <c r="H286" t="str" cm="1">
        <f t="array" aca="1" ref="H286" ca="1">CELL("address",_xlfn.XLOOKUP(A286,Sheet1!C:C,Sheet1!C:C))</f>
        <v>[match.xlsx]Sheet1!$C$133</v>
      </c>
      <c r="I286" t="str" cm="1">
        <f t="array" ref="I286:T286">_xlfn.XLOOKUP(A286,Sheet1!C:C,Sheet1!A:L)</f>
        <v>Engh</v>
      </c>
      <c r="J286" t="str">
        <v>Katherine</v>
      </c>
      <c r="K286">
        <v>26018</v>
      </c>
      <c r="L286" t="str">
        <v>951184800-SAN DIEGO GAS &amp; ELECTRIC</v>
      </c>
      <c r="M286">
        <v>2022</v>
      </c>
      <c r="N286" t="str">
        <v>Individual is enrolled in a COBRA or Retiree plan coverage that was not sent on a current post-enrollment reporting year import</v>
      </c>
      <c r="O286" t="str">
        <v xml:space="preserve"> </v>
      </c>
      <c r="P286" t="str">
        <v xml:space="preserve"> </v>
      </c>
      <c r="Q286" s="2">
        <v>44653</v>
      </c>
      <c r="R286" s="2" t="str">
        <v xml:space="preserve"> </v>
      </c>
      <c r="S286" t="str">
        <v>09/01/2018-12/31/9999</v>
      </c>
      <c r="T286" t="str">
        <v>Anthem Health Care Plus+</v>
      </c>
    </row>
    <row r="287" spans="1:20" x14ac:dyDescent="0.25">
      <c r="A287" s="3">
        <v>97114</v>
      </c>
      <c r="B287">
        <v>570254488</v>
      </c>
      <c r="C287" t="s">
        <v>1121</v>
      </c>
      <c r="D287" t="s">
        <v>1165</v>
      </c>
      <c r="E287" t="s">
        <v>71</v>
      </c>
      <c r="F287" s="2">
        <v>43101</v>
      </c>
      <c r="H287" t="str" cm="1">
        <f t="array" aca="1" ref="H287" ca="1">CELL("address",_xlfn.XLOOKUP(A287,Sheet1!C:C,Sheet1!C:C))</f>
        <v>[match.xlsx]Sheet1!$C$262</v>
      </c>
      <c r="I287" t="str" cm="1">
        <f t="array" ref="I287:T287">_xlfn.XLOOKUP(A287,Sheet1!C:C,Sheet1!A:L)</f>
        <v>Kinjo</v>
      </c>
      <c r="J287" t="str">
        <v>Terri</v>
      </c>
      <c r="K287">
        <v>97114</v>
      </c>
      <c r="L287" t="str">
        <v>951184800-SAN DIEGO GAS &amp; ELECTRIC</v>
      </c>
      <c r="M287">
        <v>2022</v>
      </c>
      <c r="N287" t="str">
        <v>Individual is enrolled in a COBRA or Retiree plan coverage that was not sent on a current post-enrollment reporting year import</v>
      </c>
      <c r="O287" t="str">
        <v xml:space="preserve"> </v>
      </c>
      <c r="P287" t="str">
        <v xml:space="preserve"> </v>
      </c>
      <c r="Q287" s="2">
        <v>44653</v>
      </c>
      <c r="R287" s="2" t="str">
        <v xml:space="preserve"> </v>
      </c>
      <c r="S287" t="str">
        <v>01/01/2018-12/31/9999</v>
      </c>
      <c r="T287" t="str">
        <v>Anthem Select HMO</v>
      </c>
    </row>
    <row r="288" spans="1:20" x14ac:dyDescent="0.25">
      <c r="A288" s="3">
        <v>34873</v>
      </c>
      <c r="B288">
        <v>548414449</v>
      </c>
      <c r="C288" t="s">
        <v>513</v>
      </c>
      <c r="D288" t="s">
        <v>617</v>
      </c>
      <c r="E288" t="s">
        <v>31</v>
      </c>
      <c r="F288" s="2">
        <v>43952</v>
      </c>
      <c r="H288" t="str" cm="1">
        <f t="array" aca="1" ref="H288" ca="1">CELL("address",_xlfn.XLOOKUP(A288,Sheet1!C:C,Sheet1!C:C))</f>
        <v>[match.xlsx]Sheet1!$C$350</v>
      </c>
      <c r="I288" t="str" cm="1">
        <f t="array" ref="I288:T288">_xlfn.XLOOKUP(A288,Sheet1!C:C,Sheet1!A:L)</f>
        <v>Mendez</v>
      </c>
      <c r="J288" t="str">
        <v>Teresa</v>
      </c>
      <c r="K288">
        <v>34873</v>
      </c>
      <c r="L288" t="str">
        <v>951240705-SO CAL GAS</v>
      </c>
      <c r="M288">
        <v>2022</v>
      </c>
      <c r="N288" t="str">
        <v>Individual is enrolled in a COBRA or Retiree plan coverage that was not sent on a current post-enrollment reporting year import</v>
      </c>
      <c r="O288" t="str">
        <v xml:space="preserve"> </v>
      </c>
      <c r="P288" t="str">
        <v xml:space="preserve"> </v>
      </c>
      <c r="Q288" s="2">
        <v>44653</v>
      </c>
      <c r="R288" s="2" t="str">
        <v xml:space="preserve"> </v>
      </c>
      <c r="S288" t="str">
        <v>05/01/2020-12/31/9999</v>
      </c>
      <c r="T288" t="str">
        <v>Anthem California Care HMO</v>
      </c>
    </row>
    <row r="289" spans="1:20" x14ac:dyDescent="0.25">
      <c r="A289" s="3">
        <v>75037</v>
      </c>
      <c r="B289">
        <v>555084011</v>
      </c>
      <c r="C289" t="s">
        <v>189</v>
      </c>
      <c r="D289" t="s">
        <v>764</v>
      </c>
      <c r="E289" t="s">
        <v>24</v>
      </c>
      <c r="F289" s="2">
        <v>43800</v>
      </c>
      <c r="H289" t="str" cm="1">
        <f t="array" aca="1" ref="H289" ca="1">CELL("address",_xlfn.XLOOKUP(A289,Sheet1!C:C,Sheet1!C:C))</f>
        <v>[match.xlsx]Sheet1!$C$468</v>
      </c>
      <c r="I289" t="str" cm="1">
        <f t="array" ref="I289:T289">_xlfn.XLOOKUP(A289,Sheet1!C:C,Sheet1!A:L)</f>
        <v>Saenz</v>
      </c>
      <c r="J289" t="str">
        <v>Thomas</v>
      </c>
      <c r="K289">
        <v>75037</v>
      </c>
      <c r="L289" t="str">
        <v>951184800-SAN DIEGO GAS &amp; ELECTRIC</v>
      </c>
      <c r="M289">
        <v>2022</v>
      </c>
      <c r="N289" t="str">
        <v>Individual is enrolled in a COBRA or Retiree plan coverage that was not sent on a current post-enrollment reporting year import</v>
      </c>
      <c r="O289" t="str">
        <v xml:space="preserve"> </v>
      </c>
      <c r="P289" t="str">
        <v xml:space="preserve"> </v>
      </c>
      <c r="Q289" s="2">
        <v>44653</v>
      </c>
      <c r="R289" s="2" t="str">
        <v xml:space="preserve"> </v>
      </c>
      <c r="S289" t="str">
        <v>12/01/2019-12/31/9999</v>
      </c>
      <c r="T289" t="str">
        <v>Anthem Health Care Plus+</v>
      </c>
    </row>
    <row r="290" spans="1:20" x14ac:dyDescent="0.25">
      <c r="A290" s="3">
        <v>38270</v>
      </c>
      <c r="B290">
        <v>305624431</v>
      </c>
      <c r="C290" t="s">
        <v>1166</v>
      </c>
      <c r="D290" t="s">
        <v>1167</v>
      </c>
      <c r="E290" t="s">
        <v>966</v>
      </c>
      <c r="F290" s="2">
        <v>43739</v>
      </c>
      <c r="H290" t="str" cm="1">
        <f t="array" aca="1" ref="H290" ca="1">CELL("address",_xlfn.XLOOKUP(A290,Sheet1!C:C,Sheet1!C:C))</f>
        <v>[match.xlsx]Sheet1!$C$222</v>
      </c>
      <c r="I290" t="str" cm="1">
        <f t="array" ref="I290:T290">_xlfn.XLOOKUP(A290,Sheet1!C:C,Sheet1!A:L)</f>
        <v>Hilbrich</v>
      </c>
      <c r="J290" t="str">
        <v>Jon</v>
      </c>
      <c r="K290">
        <v>38270</v>
      </c>
      <c r="L290" t="str">
        <v>951184800-SAN DIEGO GAS &amp; ELECTRIC</v>
      </c>
      <c r="M290">
        <v>2022</v>
      </c>
      <c r="N290" t="str">
        <v>Individual is enrolled in a COBRA or Retiree plan coverage that was not sent on a current post-enrollment reporting year import</v>
      </c>
      <c r="O290" t="str">
        <v xml:space="preserve"> </v>
      </c>
      <c r="P290" t="str">
        <v xml:space="preserve"> </v>
      </c>
      <c r="Q290" s="2">
        <v>44653</v>
      </c>
      <c r="R290" s="2" t="str">
        <v xml:space="preserve"> </v>
      </c>
      <c r="S290" t="str">
        <v>01/01/2019-12/31/9999</v>
      </c>
      <c r="T290" t="str">
        <v>Anthem Health Care Plus+</v>
      </c>
    </row>
    <row r="291" spans="1:20" x14ac:dyDescent="0.25">
      <c r="A291" s="3">
        <v>25038</v>
      </c>
      <c r="B291">
        <v>552907669</v>
      </c>
      <c r="C291" t="s">
        <v>1113</v>
      </c>
      <c r="D291" t="s">
        <v>1168</v>
      </c>
      <c r="E291" t="s">
        <v>969</v>
      </c>
      <c r="F291" s="2">
        <v>43770</v>
      </c>
      <c r="H291" t="str" cm="1">
        <f t="array" aca="1" ref="H291" ca="1">CELL("address",_xlfn.XLOOKUP(A291,Sheet1!C:C,Sheet1!C:C))</f>
        <v>[match.xlsx]Sheet1!$C$506</v>
      </c>
      <c r="I291" t="str" cm="1">
        <f t="array" ref="I291:T291">_xlfn.XLOOKUP(A291,Sheet1!C:C,Sheet1!A:L)</f>
        <v>Snyder</v>
      </c>
      <c r="J291" t="str">
        <v>Steven</v>
      </c>
      <c r="K291">
        <v>25038</v>
      </c>
      <c r="L291" t="str">
        <v>951240705-SO CAL GAS</v>
      </c>
      <c r="M291">
        <v>2022</v>
      </c>
      <c r="N291" t="str">
        <v>Individual is enrolled in a COBRA or Retiree plan coverage that was not sent on a current post-enrollment reporting year import</v>
      </c>
      <c r="O291" t="str">
        <v xml:space="preserve"> </v>
      </c>
      <c r="P291" t="str">
        <v xml:space="preserve"> </v>
      </c>
      <c r="Q291" s="2">
        <v>44653</v>
      </c>
      <c r="R291" s="2" t="str">
        <v xml:space="preserve"> </v>
      </c>
      <c r="S291" t="str">
        <v>01/01/2019-12/31/9999</v>
      </c>
      <c r="T291" t="str">
        <v>Anthem PPO Out-of-CA</v>
      </c>
    </row>
    <row r="292" spans="1:20" x14ac:dyDescent="0.25">
      <c r="A292" s="3">
        <v>62934</v>
      </c>
      <c r="B292">
        <v>547842729</v>
      </c>
      <c r="C292" t="s">
        <v>222</v>
      </c>
      <c r="D292" t="s">
        <v>670</v>
      </c>
      <c r="E292" t="s">
        <v>24</v>
      </c>
      <c r="F292" s="2">
        <v>44013</v>
      </c>
      <c r="H292" t="str" cm="1">
        <f t="array" aca="1" ref="H292" ca="1">CELL("address",_xlfn.XLOOKUP(A292,Sheet1!C:C,Sheet1!C:C))</f>
        <v>[match.xlsx]Sheet1!$C$388</v>
      </c>
      <c r="I292" t="str" cm="1">
        <f t="array" ref="I292:T292">_xlfn.XLOOKUP(A292,Sheet1!C:C,Sheet1!A:L)</f>
        <v>Norman</v>
      </c>
      <c r="J292" t="str">
        <v>Craig</v>
      </c>
      <c r="K292">
        <v>62934</v>
      </c>
      <c r="L292" t="str">
        <v>951184800-SAN DIEGO GAS &amp; ELECTRIC</v>
      </c>
      <c r="M292">
        <v>2022</v>
      </c>
      <c r="N292" t="str">
        <v>Individual is enrolled in a COBRA or Retiree plan coverage that was not sent on a current post-enrollment reporting year import</v>
      </c>
      <c r="O292" t="str">
        <v xml:space="preserve"> </v>
      </c>
      <c r="P292" t="str">
        <v xml:space="preserve"> </v>
      </c>
      <c r="Q292" s="2">
        <v>44653</v>
      </c>
      <c r="R292" s="2" t="str">
        <v xml:space="preserve"> </v>
      </c>
      <c r="S292" t="str">
        <v>07/01/2020-12/31/9999</v>
      </c>
      <c r="T292" t="str">
        <v>Anthem Health Care Plus+</v>
      </c>
    </row>
    <row r="293" spans="1:20" x14ac:dyDescent="0.25">
      <c r="A293" s="3">
        <v>31152</v>
      </c>
      <c r="B293">
        <v>548989740</v>
      </c>
      <c r="C293" t="s">
        <v>353</v>
      </c>
      <c r="D293" t="s">
        <v>352</v>
      </c>
      <c r="E293" t="s">
        <v>969</v>
      </c>
      <c r="F293" s="2">
        <v>43739</v>
      </c>
      <c r="H293" t="str" cm="1">
        <f t="array" aca="1" ref="H293" ca="1">CELL("address",_xlfn.XLOOKUP(A293,Sheet1!C:C,Sheet1!C:C))</f>
        <v>[match.xlsx]Sheet1!$C$169</v>
      </c>
      <c r="I293" t="str" cm="1">
        <f t="array" ref="I293:T293">_xlfn.XLOOKUP(A293,Sheet1!C:C,Sheet1!A:L)</f>
        <v>Gelbart</v>
      </c>
      <c r="J293" t="str">
        <v>Teresita</v>
      </c>
      <c r="K293">
        <v>31152</v>
      </c>
      <c r="L293" t="str">
        <v>951184800-SAN DIEGO GAS &amp; ELECTRIC</v>
      </c>
      <c r="M293">
        <v>2022</v>
      </c>
      <c r="N293" t="str">
        <v>Individual is enrolled in a COBRA or Retiree plan coverage that was not sent on a current post-enrollment reporting year import</v>
      </c>
      <c r="O293" t="str">
        <v xml:space="preserve"> </v>
      </c>
      <c r="P293" t="str">
        <v xml:space="preserve"> </v>
      </c>
      <c r="Q293" s="2">
        <v>44653</v>
      </c>
      <c r="R293" s="2" t="str">
        <v xml:space="preserve"> </v>
      </c>
      <c r="S293" t="str">
        <v>01/01/2019-12/31/9999</v>
      </c>
      <c r="T293" t="str">
        <v>Anthem Select HMO</v>
      </c>
    </row>
    <row r="294" spans="1:20" x14ac:dyDescent="0.25">
      <c r="A294" s="3">
        <v>39437</v>
      </c>
      <c r="B294">
        <v>554235894</v>
      </c>
      <c r="C294" t="s">
        <v>1169</v>
      </c>
      <c r="D294" t="s">
        <v>1170</v>
      </c>
      <c r="E294" t="s">
        <v>71</v>
      </c>
      <c r="F294" s="2">
        <v>43525</v>
      </c>
      <c r="H294" t="str" cm="1">
        <f t="array" aca="1" ref="H294" ca="1">CELL("address",_xlfn.XLOOKUP(A294,Sheet1!C:C,Sheet1!C:C))</f>
        <v>[match.xlsx]Sheet1!$C$508</v>
      </c>
      <c r="I294" t="str" cm="1">
        <f t="array" ref="I294:T294">_xlfn.XLOOKUP(A294,Sheet1!C:C,Sheet1!A:L)</f>
        <v>Sonora</v>
      </c>
      <c r="J294" t="str">
        <v>Dina</v>
      </c>
      <c r="K294">
        <v>39437</v>
      </c>
      <c r="L294" t="str">
        <v>951240705-SO CAL GAS</v>
      </c>
      <c r="M294">
        <v>2022</v>
      </c>
      <c r="N294" t="str">
        <v>Individual is enrolled in a COBRA or Retiree plan coverage that was not sent on a current post-enrollment reporting year import</v>
      </c>
      <c r="O294" t="str">
        <v xml:space="preserve"> </v>
      </c>
      <c r="P294" t="str">
        <v xml:space="preserve"> </v>
      </c>
      <c r="Q294" s="2">
        <v>44653</v>
      </c>
      <c r="R294" s="2" t="str">
        <v xml:space="preserve"> </v>
      </c>
      <c r="S294" t="str">
        <v>03/01/2019-12/31/9999</v>
      </c>
      <c r="T294" t="str">
        <v>Anthem Select HMO</v>
      </c>
    </row>
    <row r="295" spans="1:20" x14ac:dyDescent="0.25">
      <c r="A295" s="3">
        <v>2051</v>
      </c>
      <c r="B295">
        <v>325642292</v>
      </c>
      <c r="C295" t="s">
        <v>156</v>
      </c>
      <c r="D295" t="s">
        <v>543</v>
      </c>
      <c r="E295" t="s">
        <v>1070</v>
      </c>
      <c r="F295" s="2">
        <v>44256</v>
      </c>
      <c r="H295" t="str" cm="1">
        <f t="array" aca="1" ref="H295" ca="1">CELL("address",_xlfn.XLOOKUP(A295,Sheet1!C:C,Sheet1!C:C))</f>
        <v>[match.xlsx]Sheet1!$C$296</v>
      </c>
      <c r="I295" t="str" cm="1">
        <f t="array" ref="I295:T295">_xlfn.XLOOKUP(A295,Sheet1!C:C,Sheet1!A:L)</f>
        <v>Lewis</v>
      </c>
      <c r="J295" t="str">
        <v>Deborah</v>
      </c>
      <c r="K295">
        <v>2051</v>
      </c>
      <c r="L295" t="str">
        <v>951184800-SAN DIEGO GAS &amp; ELECTRIC</v>
      </c>
      <c r="M295">
        <v>2022</v>
      </c>
      <c r="N295" t="str">
        <v>Individual is enrolled in a COBRA or Retiree plan coverage that was not sent on a current post-enrollment reporting year import</v>
      </c>
      <c r="O295" t="str">
        <v xml:space="preserve"> </v>
      </c>
      <c r="P295" t="str">
        <v xml:space="preserve"> </v>
      </c>
      <c r="Q295" s="2">
        <v>44653</v>
      </c>
      <c r="R295" s="2" t="str">
        <v xml:space="preserve"> </v>
      </c>
      <c r="S295" t="str">
        <v>06/01/2019-12/31/9999</v>
      </c>
      <c r="T295" t="str">
        <v>Anthem Health Care Plus+</v>
      </c>
    </row>
    <row r="296" spans="1:20" x14ac:dyDescent="0.25">
      <c r="A296" s="3">
        <v>3364</v>
      </c>
      <c r="B296">
        <v>261514351</v>
      </c>
      <c r="C296" t="s">
        <v>755</v>
      </c>
      <c r="D296" t="s">
        <v>314</v>
      </c>
      <c r="E296" t="s">
        <v>24</v>
      </c>
      <c r="F296" s="2">
        <v>43466</v>
      </c>
      <c r="H296" t="str" cm="1">
        <f t="array" aca="1" ref="H296" ca="1">CELL("address",_xlfn.XLOOKUP(A296,Sheet1!C:C,Sheet1!C:C))</f>
        <v>[match.xlsx]Sheet1!$C$459</v>
      </c>
      <c r="I296" t="str" cm="1">
        <f t="array" ref="I296:T296">_xlfn.XLOOKUP(A296,Sheet1!C:C,Sheet1!A:L)</f>
        <v>Ross</v>
      </c>
      <c r="J296" t="str">
        <v>Rebecca</v>
      </c>
      <c r="K296">
        <v>3364</v>
      </c>
      <c r="L296" t="str">
        <v>951184800-SAN DIEGO GAS &amp; ELECTRIC</v>
      </c>
      <c r="M296">
        <v>2022</v>
      </c>
      <c r="N296" t="str">
        <v>Individual is enrolled in a COBRA or Retiree plan coverage that was not sent on a current post-enrollment reporting year import</v>
      </c>
      <c r="O296" t="str">
        <v xml:space="preserve"> </v>
      </c>
      <c r="P296" t="str">
        <v xml:space="preserve"> </v>
      </c>
      <c r="Q296" s="2">
        <v>44653</v>
      </c>
      <c r="R296" s="2" t="str">
        <v xml:space="preserve"> </v>
      </c>
      <c r="S296" t="str">
        <v>01/01/2019-12/31/9999</v>
      </c>
      <c r="T296" t="str">
        <v>Anthem Health Care Plus+</v>
      </c>
    </row>
    <row r="297" spans="1:20" x14ac:dyDescent="0.25">
      <c r="A297" s="3">
        <v>70038</v>
      </c>
      <c r="B297">
        <v>236048752</v>
      </c>
      <c r="C297" t="s">
        <v>74</v>
      </c>
      <c r="D297" t="s">
        <v>705</v>
      </c>
      <c r="E297" t="s">
        <v>24</v>
      </c>
      <c r="F297" s="2">
        <v>43252</v>
      </c>
      <c r="H297" t="str" cm="1">
        <f t="array" aca="1" ref="H297" ca="1">CELL("address",_xlfn.XLOOKUP(A297,Sheet1!C:C,Sheet1!C:C))</f>
        <v>[match.xlsx]Sheet1!$C$418</v>
      </c>
      <c r="I297" t="str" cm="1">
        <f t="array" ref="I297:T297">_xlfn.XLOOKUP(A297,Sheet1!C:C,Sheet1!A:L)</f>
        <v>Pirraglia</v>
      </c>
      <c r="J297" t="str">
        <v>John</v>
      </c>
      <c r="K297">
        <v>70038</v>
      </c>
      <c r="L297" t="str">
        <v>474996138-SEMPRA LNG &amp; MIDSTREAM LLC</v>
      </c>
      <c r="M297">
        <v>2022</v>
      </c>
      <c r="N297" t="str">
        <v>Individual is enrolled in a COBRA or Retiree plan coverage that was not sent on a current post-enrollment reporting year import</v>
      </c>
      <c r="O297" t="str">
        <v xml:space="preserve"> </v>
      </c>
      <c r="P297" t="str">
        <v xml:space="preserve"> </v>
      </c>
      <c r="Q297" s="2">
        <v>44653</v>
      </c>
      <c r="R297" s="2" t="str">
        <v xml:space="preserve"> </v>
      </c>
      <c r="S297" t="str">
        <v>06/01/2018-12/31/9999</v>
      </c>
      <c r="T297" t="str">
        <v>Anthem Health Care Plus+</v>
      </c>
    </row>
    <row r="298" spans="1:20" x14ac:dyDescent="0.25">
      <c r="A298" s="3">
        <v>16621</v>
      </c>
      <c r="B298">
        <v>549116288</v>
      </c>
      <c r="C298" t="s">
        <v>871</v>
      </c>
      <c r="D298" t="s">
        <v>870</v>
      </c>
      <c r="E298" t="s">
        <v>31</v>
      </c>
      <c r="F298" s="2">
        <v>43891</v>
      </c>
      <c r="H298" t="str" cm="1">
        <f t="array" aca="1" ref="H298" ca="1">CELL("address",_xlfn.XLOOKUP(A298,Sheet1!C:C,Sheet1!C:C))</f>
        <v>[match.xlsx]Sheet1!$C$556</v>
      </c>
      <c r="I298" t="str" cm="1">
        <f t="array" ref="I298:T298">_xlfn.XLOOKUP(A298,Sheet1!C:C,Sheet1!A:L)</f>
        <v>Velasco</v>
      </c>
      <c r="J298" t="str">
        <v>Elaine</v>
      </c>
      <c r="K298">
        <v>16621</v>
      </c>
      <c r="L298" t="str">
        <v>951240705-SO CAL GAS</v>
      </c>
      <c r="M298">
        <v>2022</v>
      </c>
      <c r="N298" t="str">
        <v>Individual is enrolled in a COBRA or Retiree plan coverage that was not sent on a current post-enrollment reporting year import</v>
      </c>
      <c r="O298" t="str">
        <v xml:space="preserve"> </v>
      </c>
      <c r="P298" t="str">
        <v xml:space="preserve"> </v>
      </c>
      <c r="Q298" s="2">
        <v>44653</v>
      </c>
      <c r="R298" s="2" t="str">
        <v xml:space="preserve"> </v>
      </c>
      <c r="S298" t="str">
        <v>03/01/2020-12/31/9999</v>
      </c>
      <c r="T298" t="str">
        <v>Anthem California Care HMO</v>
      </c>
    </row>
    <row r="299" spans="1:20" x14ac:dyDescent="0.25">
      <c r="A299" s="3">
        <v>29521</v>
      </c>
      <c r="B299">
        <v>445585643</v>
      </c>
      <c r="C299" t="s">
        <v>523</v>
      </c>
      <c r="D299" t="s">
        <v>521</v>
      </c>
      <c r="E299" t="s">
        <v>24</v>
      </c>
      <c r="F299" s="2">
        <v>44044</v>
      </c>
      <c r="H299" t="str" cm="1">
        <f t="array" aca="1" ref="H299" ca="1">CELL("address",_xlfn.XLOOKUP(A299,Sheet1!C:C,Sheet1!C:C))</f>
        <v>[match.xlsx]Sheet1!$C$279</v>
      </c>
      <c r="I299" t="str" cm="1">
        <f t="array" ref="I299:T299">_xlfn.XLOOKUP(A299,Sheet1!C:C,Sheet1!A:L)</f>
        <v>Lane</v>
      </c>
      <c r="J299" t="str">
        <v>Joe</v>
      </c>
      <c r="K299">
        <v>29521</v>
      </c>
      <c r="L299" t="str">
        <v>951240705-SO CAL GAS</v>
      </c>
      <c r="M299">
        <v>2022</v>
      </c>
      <c r="N299" t="str">
        <v>Individual is enrolled in a COBRA or Retiree plan coverage that was not sent on a current post-enrollment reporting year import</v>
      </c>
      <c r="O299" t="str">
        <v xml:space="preserve"> </v>
      </c>
      <c r="P299" t="str">
        <v xml:space="preserve"> </v>
      </c>
      <c r="Q299" s="2">
        <v>44653</v>
      </c>
      <c r="R299" s="2" t="str">
        <v xml:space="preserve"> </v>
      </c>
      <c r="S299" t="str">
        <v>08/01/2020-12/31/9999</v>
      </c>
      <c r="T299" t="str">
        <v>Anthem Health Care Plus+</v>
      </c>
    </row>
    <row r="300" spans="1:20" x14ac:dyDescent="0.25">
      <c r="A300" s="3">
        <v>49291</v>
      </c>
      <c r="B300">
        <v>561352751</v>
      </c>
      <c r="C300" t="s">
        <v>513</v>
      </c>
      <c r="D300" t="s">
        <v>512</v>
      </c>
      <c r="E300" t="s">
        <v>71</v>
      </c>
      <c r="F300" s="2">
        <v>43525</v>
      </c>
      <c r="H300" t="str" cm="1">
        <f t="array" aca="1" ref="H300" ca="1">CELL("address",_xlfn.XLOOKUP(A300,Sheet1!C:C,Sheet1!C:C))</f>
        <v>[match.xlsx]Sheet1!$C$273</v>
      </c>
      <c r="I300" t="str" cm="1">
        <f t="array" ref="I300:T300">_xlfn.XLOOKUP(A300,Sheet1!C:C,Sheet1!A:L)</f>
        <v>LaRagione</v>
      </c>
      <c r="J300" t="str">
        <v>Teresa</v>
      </c>
      <c r="K300">
        <v>49291</v>
      </c>
      <c r="L300" t="str">
        <v>951184800-SAN DIEGO GAS &amp; ELECTRIC</v>
      </c>
      <c r="M300">
        <v>2022</v>
      </c>
      <c r="N300" t="str">
        <v>Individual is enrolled in a COBRA or Retiree plan coverage that was not sent on a current post-enrollment reporting year import</v>
      </c>
      <c r="O300" t="str">
        <v xml:space="preserve"> </v>
      </c>
      <c r="P300" t="str">
        <v xml:space="preserve"> </v>
      </c>
      <c r="Q300" s="2">
        <v>44653</v>
      </c>
      <c r="R300" s="2" t="str">
        <v xml:space="preserve"> </v>
      </c>
      <c r="S300" t="str">
        <v>03/01/2019-12/31/9999</v>
      </c>
      <c r="T300" t="str">
        <v>Anthem Select HMO</v>
      </c>
    </row>
    <row r="301" spans="1:20" x14ac:dyDescent="0.25">
      <c r="A301" s="3">
        <v>13775</v>
      </c>
      <c r="B301">
        <v>550392602</v>
      </c>
      <c r="C301" t="s">
        <v>1171</v>
      </c>
      <c r="D301" t="s">
        <v>1172</v>
      </c>
      <c r="E301" t="s">
        <v>71</v>
      </c>
      <c r="F301" s="2">
        <v>43101</v>
      </c>
      <c r="H301" t="str" cm="1">
        <f t="array" aca="1" ref="H301" ca="1">CELL("address",_xlfn.XLOOKUP(A301,Sheet1!C:C,Sheet1!C:C))</f>
        <v>[match.xlsx]Sheet1!$C$59</v>
      </c>
      <c r="I301" t="str" cm="1">
        <f t="array" ref="I301:T301">_xlfn.XLOOKUP(A301,Sheet1!C:C,Sheet1!A:L)</f>
        <v>Brookes</v>
      </c>
      <c r="J301" t="str">
        <v>Margaret</v>
      </c>
      <c r="K301">
        <v>13775</v>
      </c>
      <c r="L301" t="str">
        <v>951184800-SAN DIEGO GAS &amp; ELECTRIC</v>
      </c>
      <c r="M301">
        <v>2022</v>
      </c>
      <c r="N301" t="str">
        <v>Individual is enrolled in a COBRA or Retiree plan coverage that was not sent on a current post-enrollment reporting year import</v>
      </c>
      <c r="O301" t="str">
        <v xml:space="preserve"> </v>
      </c>
      <c r="P301" t="str">
        <v xml:space="preserve"> </v>
      </c>
      <c r="Q301" s="2">
        <v>44653</v>
      </c>
      <c r="R301" s="2" t="str">
        <v xml:space="preserve"> </v>
      </c>
      <c r="S301" t="str">
        <v>01/01/2018-12/31/9999</v>
      </c>
      <c r="T301" t="str">
        <v>Anthem Select HMO</v>
      </c>
    </row>
    <row r="302" spans="1:20" x14ac:dyDescent="0.25">
      <c r="A302" s="3">
        <v>34255</v>
      </c>
      <c r="B302">
        <v>554024963</v>
      </c>
      <c r="C302" t="s">
        <v>1173</v>
      </c>
      <c r="D302" t="s">
        <v>1174</v>
      </c>
      <c r="E302" t="s">
        <v>954</v>
      </c>
      <c r="F302" s="2">
        <v>43617</v>
      </c>
      <c r="H302" t="str" cm="1">
        <f t="array" aca="1" ref="H302" ca="1">CELL("address",_xlfn.XLOOKUP(A302,Sheet1!C:C,Sheet1!C:C))</f>
        <v>[match.xlsx]Sheet1!$C$192</v>
      </c>
      <c r="I302" t="str" cm="1">
        <f t="array" ref="I302:T302">_xlfn.XLOOKUP(A302,Sheet1!C:C,Sheet1!A:L)</f>
        <v>Guthrie</v>
      </c>
      <c r="J302" t="str">
        <v>Barbara</v>
      </c>
      <c r="K302">
        <v>34255</v>
      </c>
      <c r="L302" t="str">
        <v>951184800-SAN DIEGO GAS &amp; ELECTRIC</v>
      </c>
      <c r="M302">
        <v>2022</v>
      </c>
      <c r="N302" t="str">
        <v>Individual is enrolled in a COBRA or Retiree plan coverage that was not sent on a current post-enrollment reporting year import</v>
      </c>
      <c r="O302" t="str">
        <v xml:space="preserve"> </v>
      </c>
      <c r="P302" t="str">
        <v xml:space="preserve"> </v>
      </c>
      <c r="Q302" s="2">
        <v>44653</v>
      </c>
      <c r="R302" s="2" t="str">
        <v xml:space="preserve"> </v>
      </c>
      <c r="S302" t="str">
        <v>01/01/2019-12/31/9999</v>
      </c>
      <c r="T302" t="str">
        <v>Anthem Select HMO</v>
      </c>
    </row>
    <row r="303" spans="1:20" x14ac:dyDescent="0.25">
      <c r="A303" s="3">
        <v>24162</v>
      </c>
      <c r="B303">
        <v>552084478</v>
      </c>
      <c r="C303" t="s">
        <v>163</v>
      </c>
      <c r="D303" t="s">
        <v>281</v>
      </c>
      <c r="E303" t="s">
        <v>71</v>
      </c>
      <c r="F303" s="2">
        <v>43374</v>
      </c>
      <c r="H303" t="str" cm="1">
        <f t="array" aca="1" ref="H303" ca="1">CELL("address",_xlfn.XLOOKUP(A303,Sheet1!C:C,Sheet1!C:C))</f>
        <v>[match.xlsx]Sheet1!$C$127</v>
      </c>
      <c r="I303" t="str" cm="1">
        <f t="array" ref="I303:T303">_xlfn.XLOOKUP(A303,Sheet1!C:C,Sheet1!A:L)</f>
        <v>Dykes</v>
      </c>
      <c r="J303" t="str">
        <v>Katherine</v>
      </c>
      <c r="K303">
        <v>24162</v>
      </c>
      <c r="L303" t="str">
        <v>951184800-SAN DIEGO GAS &amp; ELECTRIC</v>
      </c>
      <c r="M303">
        <v>2022</v>
      </c>
      <c r="N303" t="str">
        <v>Individual is enrolled in a COBRA or Retiree plan coverage that was not sent on a current post-enrollment reporting year import</v>
      </c>
      <c r="O303" t="str">
        <v xml:space="preserve"> </v>
      </c>
      <c r="P303" t="str">
        <v xml:space="preserve"> </v>
      </c>
      <c r="Q303" s="2">
        <v>44653</v>
      </c>
      <c r="R303" s="2" t="str">
        <v xml:space="preserve"> </v>
      </c>
      <c r="S303" t="str">
        <v>10/01/2018-12/31/9999</v>
      </c>
      <c r="T303" t="str">
        <v>Anthem Select HMO</v>
      </c>
    </row>
    <row r="304" spans="1:20" x14ac:dyDescent="0.25">
      <c r="A304" s="3">
        <v>5027</v>
      </c>
      <c r="B304">
        <v>547491248</v>
      </c>
      <c r="C304" t="s">
        <v>477</v>
      </c>
      <c r="D304" t="s">
        <v>741</v>
      </c>
      <c r="E304" t="s">
        <v>24</v>
      </c>
      <c r="F304" s="2">
        <v>43922</v>
      </c>
      <c r="H304" t="str" cm="1">
        <f t="array" aca="1" ref="H304" ca="1">CELL("address",_xlfn.XLOOKUP(A304,Sheet1!C:C,Sheet1!C:C))</f>
        <v>[match.xlsx]Sheet1!$C$447</v>
      </c>
      <c r="I304" t="str" cm="1">
        <f t="array" ref="I304:T304">_xlfn.XLOOKUP(A304,Sheet1!C:C,Sheet1!A:L)</f>
        <v>Robinson</v>
      </c>
      <c r="J304" t="str">
        <v>Donna</v>
      </c>
      <c r="K304">
        <v>5027</v>
      </c>
      <c r="L304" t="str">
        <v>951184800-SAN DIEGO GAS &amp; ELECTRIC</v>
      </c>
      <c r="M304">
        <v>2022</v>
      </c>
      <c r="N304" t="str">
        <v>Individual is enrolled in a COBRA or Retiree plan coverage that was not sent on a current post-enrollment reporting year import</v>
      </c>
      <c r="O304" t="str">
        <v xml:space="preserve"> </v>
      </c>
      <c r="P304" t="str">
        <v xml:space="preserve"> </v>
      </c>
      <c r="Q304" s="2">
        <v>44653</v>
      </c>
      <c r="R304" s="2" t="str">
        <v xml:space="preserve"> </v>
      </c>
      <c r="S304" t="str">
        <v>04/01/2020-12/31/9999</v>
      </c>
      <c r="T304" t="str">
        <v>Anthem Health Care Plus+</v>
      </c>
    </row>
    <row r="305" spans="1:20" x14ac:dyDescent="0.25">
      <c r="A305" s="3">
        <v>51691</v>
      </c>
      <c r="B305">
        <v>569744543</v>
      </c>
      <c r="C305" t="s">
        <v>1175</v>
      </c>
      <c r="D305" t="s">
        <v>1176</v>
      </c>
      <c r="E305" t="s">
        <v>24</v>
      </c>
      <c r="F305" s="2">
        <v>43101</v>
      </c>
      <c r="H305" t="str" cm="1">
        <f t="array" aca="1" ref="H305" ca="1">CELL("address",_xlfn.XLOOKUP(A305,Sheet1!C:C,Sheet1!C:C))</f>
        <v>[match.xlsx]Sheet1!$C$157</v>
      </c>
      <c r="I305" t="str" cm="1">
        <f t="array" ref="I305:T305">_xlfn.XLOOKUP(A305,Sheet1!C:C,Sheet1!A:L)</f>
        <v>Franke</v>
      </c>
      <c r="J305" t="str">
        <v>Sara</v>
      </c>
      <c r="K305">
        <v>51691</v>
      </c>
      <c r="L305" t="str">
        <v>951240705-SO CAL GAS</v>
      </c>
      <c r="M305">
        <v>2022</v>
      </c>
      <c r="N305" t="str">
        <v>Individual is enrolled in a COBRA or Retiree plan coverage that was not sent on a current post-enrollment reporting year import</v>
      </c>
      <c r="O305" t="str">
        <v xml:space="preserve"> </v>
      </c>
      <c r="P305" t="str">
        <v xml:space="preserve"> </v>
      </c>
      <c r="Q305" s="2">
        <v>44653</v>
      </c>
      <c r="R305" s="2" t="str">
        <v xml:space="preserve"> </v>
      </c>
      <c r="S305" t="str">
        <v>01/01/2018-12/31/9999</v>
      </c>
      <c r="T305" t="str">
        <v>Anthem Health Care Plus+</v>
      </c>
    </row>
    <row r="306" spans="1:20" x14ac:dyDescent="0.25">
      <c r="A306" s="3">
        <v>89643</v>
      </c>
      <c r="B306">
        <v>573277728</v>
      </c>
      <c r="C306" t="s">
        <v>1030</v>
      </c>
      <c r="D306" t="s">
        <v>1177</v>
      </c>
      <c r="E306" t="s">
        <v>71</v>
      </c>
      <c r="F306" s="2">
        <v>43147</v>
      </c>
      <c r="H306" t="str" cm="1">
        <f t="array" aca="1" ref="H306" ca="1">CELL("address",_xlfn.XLOOKUP(A306,Sheet1!C:C,Sheet1!C:C))</f>
        <v>[match.xlsx]Sheet1!$C$557</v>
      </c>
      <c r="I306" t="str" cm="1">
        <f t="array" ref="I306:T306">_xlfn.XLOOKUP(A306,Sheet1!C:C,Sheet1!A:L)</f>
        <v>Vermeule</v>
      </c>
      <c r="J306" t="str">
        <v>John</v>
      </c>
      <c r="K306">
        <v>89643</v>
      </c>
      <c r="L306" t="str">
        <v>951184800-SAN DIEGO GAS &amp; ELECTRIC</v>
      </c>
      <c r="M306">
        <v>2022</v>
      </c>
      <c r="N306" t="str">
        <v>Individual is enrolled in a COBRA or Retiree plan coverage that was not sent on a current post-enrollment reporting year import</v>
      </c>
      <c r="O306" t="str">
        <v xml:space="preserve"> </v>
      </c>
      <c r="P306" t="str">
        <v xml:space="preserve"> </v>
      </c>
      <c r="Q306" s="2">
        <v>44653</v>
      </c>
      <c r="R306" s="2" t="str">
        <v xml:space="preserve"> </v>
      </c>
      <c r="S306" t="str">
        <v>02/16/2018-12/31/9999</v>
      </c>
      <c r="T306" t="str">
        <v>Anthem Select HMO</v>
      </c>
    </row>
    <row r="307" spans="1:20" x14ac:dyDescent="0.25">
      <c r="A307" s="3">
        <v>99862</v>
      </c>
      <c r="B307">
        <v>6704658</v>
      </c>
      <c r="C307" t="s">
        <v>99</v>
      </c>
      <c r="D307" t="s">
        <v>98</v>
      </c>
      <c r="E307" t="s">
        <v>24</v>
      </c>
      <c r="F307" s="2">
        <v>43831</v>
      </c>
      <c r="H307" t="str" cm="1">
        <f t="array" aca="1" ref="H307" ca="1">CELL("address",_xlfn.XLOOKUP(A307,Sheet1!C:C,Sheet1!C:C))</f>
        <v>[match.xlsx]Sheet1!$C$35</v>
      </c>
      <c r="I307" t="str" cm="1">
        <f t="array" ref="I307:T307">_xlfn.XLOOKUP(A307,Sheet1!C:C,Sheet1!A:L)</f>
        <v>Berglund</v>
      </c>
      <c r="J307" t="str">
        <v>Hugh</v>
      </c>
      <c r="K307">
        <v>99862</v>
      </c>
      <c r="L307" t="str">
        <v>954673646-SEMPRA SERVICES CORPORATION</v>
      </c>
      <c r="M307">
        <v>2022</v>
      </c>
      <c r="N307" t="str">
        <v>Individual is enrolled in a COBRA or Retiree plan coverage that was not sent on a current post-enrollment reporting year import</v>
      </c>
      <c r="O307" t="str">
        <v xml:space="preserve"> </v>
      </c>
      <c r="P307" t="str">
        <v xml:space="preserve"> </v>
      </c>
      <c r="Q307" s="2">
        <v>44653</v>
      </c>
      <c r="R307" s="2" t="str">
        <v xml:space="preserve"> </v>
      </c>
      <c r="S307" t="str">
        <v>01/01/2020-12/31/9999</v>
      </c>
      <c r="T307" t="str">
        <v>Anthem Health Care Plus+</v>
      </c>
    </row>
    <row r="308" spans="1:20" x14ac:dyDescent="0.25">
      <c r="A308" s="3">
        <v>37795</v>
      </c>
      <c r="B308">
        <v>561318169</v>
      </c>
      <c r="C308" t="s">
        <v>103</v>
      </c>
      <c r="D308" t="s">
        <v>437</v>
      </c>
      <c r="E308" t="s">
        <v>71</v>
      </c>
      <c r="F308" s="2">
        <v>43891</v>
      </c>
      <c r="H308" t="str" cm="1">
        <f t="array" aca="1" ref="H308" ca="1">CELL("address",_xlfn.XLOOKUP(A308,Sheet1!C:C,Sheet1!C:C))</f>
        <v>[match.xlsx]Sheet1!$C$221</v>
      </c>
      <c r="I308" t="str" cm="1">
        <f t="array" ref="I308:T308">_xlfn.XLOOKUP(A308,Sheet1!C:C,Sheet1!A:L)</f>
        <v>Heskett</v>
      </c>
      <c r="J308" t="str">
        <v>Michael</v>
      </c>
      <c r="K308">
        <v>37795</v>
      </c>
      <c r="L308" t="str">
        <v>951184800-SAN DIEGO GAS &amp; ELECTRIC</v>
      </c>
      <c r="M308">
        <v>2022</v>
      </c>
      <c r="N308" t="str">
        <v>Individual is enrolled in a COBRA or Retiree plan coverage that was not sent on a current post-enrollment reporting year import</v>
      </c>
      <c r="O308" t="str">
        <v xml:space="preserve"> </v>
      </c>
      <c r="P308" t="str">
        <v xml:space="preserve"> </v>
      </c>
      <c r="Q308" s="2">
        <v>44653</v>
      </c>
      <c r="R308" s="2" t="str">
        <v xml:space="preserve"> </v>
      </c>
      <c r="S308" t="str">
        <v>03/01/2020-12/31/9999</v>
      </c>
      <c r="T308" t="str">
        <v>Anthem Select HMO</v>
      </c>
    </row>
    <row r="309" spans="1:20" x14ac:dyDescent="0.25">
      <c r="A309" s="3">
        <v>43081</v>
      </c>
      <c r="B309">
        <v>558909211</v>
      </c>
      <c r="C309" t="s">
        <v>149</v>
      </c>
      <c r="D309" t="s">
        <v>706</v>
      </c>
      <c r="E309" t="s">
        <v>966</v>
      </c>
      <c r="F309" s="2">
        <v>43952</v>
      </c>
      <c r="H309" t="str" cm="1">
        <f t="array" aca="1" ref="H309" ca="1">CELL("address",_xlfn.XLOOKUP(A309,Sheet1!C:C,Sheet1!C:C))</f>
        <v>[match.xlsx]Sheet1!$C$419</v>
      </c>
      <c r="I309" t="str" cm="1">
        <f t="array" ref="I309:T309">_xlfn.XLOOKUP(A309,Sheet1!C:C,Sheet1!A:L)</f>
        <v>Poepke</v>
      </c>
      <c r="J309" t="str">
        <v>Charles</v>
      </c>
      <c r="K309">
        <v>43081</v>
      </c>
      <c r="L309" t="str">
        <v>951240705-SO CAL GAS</v>
      </c>
      <c r="M309">
        <v>2022</v>
      </c>
      <c r="N309" t="str">
        <v>Individual is enrolled in a COBRA or Retiree plan coverage that was not sent on a current post-enrollment reporting year import</v>
      </c>
      <c r="O309" t="str">
        <v xml:space="preserve"> </v>
      </c>
      <c r="P309" t="str">
        <v xml:space="preserve"> </v>
      </c>
      <c r="Q309" s="2">
        <v>44653</v>
      </c>
      <c r="R309" s="2" t="str">
        <v xml:space="preserve"> </v>
      </c>
      <c r="S309" t="str">
        <v>01/01/2019-12/31/9999</v>
      </c>
      <c r="T309" t="str">
        <v>Anthem Select HMO</v>
      </c>
    </row>
    <row r="310" spans="1:20" x14ac:dyDescent="0.25">
      <c r="A310" s="3">
        <v>2324</v>
      </c>
      <c r="B310">
        <v>571454602</v>
      </c>
      <c r="C310" t="s">
        <v>424</v>
      </c>
      <c r="D310" t="s">
        <v>579</v>
      </c>
      <c r="E310" t="s">
        <v>71</v>
      </c>
      <c r="F310" s="2">
        <v>43678</v>
      </c>
      <c r="H310" t="str" cm="1">
        <f t="array" aca="1" ref="H310" ca="1">CELL("address",_xlfn.XLOOKUP(A310,Sheet1!C:C,Sheet1!C:C))</f>
        <v>[match.xlsx]Sheet1!$C$320</v>
      </c>
      <c r="I310" t="str" cm="1">
        <f t="array" ref="I310:T310">_xlfn.XLOOKUP(A310,Sheet1!C:C,Sheet1!A:L)</f>
        <v>Magnuson</v>
      </c>
      <c r="J310" t="str">
        <v>Brian</v>
      </c>
      <c r="K310">
        <v>2324</v>
      </c>
      <c r="L310" t="str">
        <v>951184800-SAN DIEGO GAS &amp; ELECTRIC</v>
      </c>
      <c r="M310">
        <v>2022</v>
      </c>
      <c r="N310" t="str">
        <v>Individual is enrolled in a COBRA or Retiree plan coverage that was not sent on a current post-enrollment reporting year import</v>
      </c>
      <c r="O310" t="str">
        <v xml:space="preserve"> </v>
      </c>
      <c r="P310" t="str">
        <v xml:space="preserve"> </v>
      </c>
      <c r="Q310" s="2">
        <v>44653</v>
      </c>
      <c r="R310" s="2" t="str">
        <v xml:space="preserve"> </v>
      </c>
      <c r="S310" t="str">
        <v>08/01/2019-12/31/9999</v>
      </c>
      <c r="T310" t="str">
        <v>Anthem Select HMO</v>
      </c>
    </row>
    <row r="311" spans="1:20" x14ac:dyDescent="0.25">
      <c r="A311" s="3">
        <v>32579</v>
      </c>
      <c r="B311">
        <v>545192328</v>
      </c>
      <c r="C311" t="s">
        <v>1178</v>
      </c>
      <c r="D311" t="s">
        <v>1179</v>
      </c>
      <c r="E311" t="s">
        <v>24</v>
      </c>
      <c r="F311" s="2">
        <v>43922</v>
      </c>
      <c r="H311" t="str" cm="1">
        <f t="array" aca="1" ref="H311" ca="1">CELL("address",_xlfn.XLOOKUP(A311,Sheet1!C:C,Sheet1!C:C))</f>
        <v>[match.xlsx]Sheet1!$C$565</v>
      </c>
      <c r="I311" t="str" cm="1">
        <f t="array" ref="I311:T311">_xlfn.XLOOKUP(A311,Sheet1!C:C,Sheet1!A:L)</f>
        <v>Warner</v>
      </c>
      <c r="J311" t="str">
        <v>Scott</v>
      </c>
      <c r="K311">
        <v>32579</v>
      </c>
      <c r="L311" t="str">
        <v>951240705-SO CAL GAS</v>
      </c>
      <c r="M311">
        <v>2022</v>
      </c>
      <c r="N311" t="str">
        <v>Individual is enrolled in a COBRA or Retiree plan coverage that was not sent on a current post-enrollment reporting year import</v>
      </c>
      <c r="O311" t="str">
        <v xml:space="preserve"> </v>
      </c>
      <c r="P311" t="str">
        <v xml:space="preserve"> </v>
      </c>
      <c r="Q311" s="2">
        <v>44653</v>
      </c>
      <c r="R311" s="2" t="str">
        <v xml:space="preserve"> </v>
      </c>
      <c r="S311" t="str">
        <v>04/01/2020-12/31/9999</v>
      </c>
      <c r="T311" t="str">
        <v>Anthem Health Care Plus+</v>
      </c>
    </row>
    <row r="312" spans="1:20" x14ac:dyDescent="0.25">
      <c r="A312" s="3">
        <v>7474</v>
      </c>
      <c r="B312">
        <v>67882572</v>
      </c>
      <c r="C312" t="s">
        <v>704</v>
      </c>
      <c r="D312" t="s">
        <v>703</v>
      </c>
      <c r="E312" t="s">
        <v>24</v>
      </c>
      <c r="F312" s="2">
        <v>43466</v>
      </c>
      <c r="H312" t="str" cm="1">
        <f t="array" aca="1" ref="H312" ca="1">CELL("address",_xlfn.XLOOKUP(A312,Sheet1!C:C,Sheet1!C:C))</f>
        <v>[match.xlsx]Sheet1!$C$417</v>
      </c>
      <c r="I312" t="str" cm="1">
        <f t="array" ref="I312:T312">_xlfn.XLOOKUP(A312,Sheet1!C:C,Sheet1!A:L)</f>
        <v>Pinard</v>
      </c>
      <c r="J312" t="str">
        <v>Real</v>
      </c>
      <c r="K312">
        <v>7474</v>
      </c>
      <c r="L312" t="str">
        <v>951184800-SAN DIEGO GAS &amp; ELECTRIC</v>
      </c>
      <c r="M312">
        <v>2022</v>
      </c>
      <c r="N312" t="str">
        <v>Individual is enrolled in a COBRA or Retiree plan coverage that was not sent on a current post-enrollment reporting year import</v>
      </c>
      <c r="O312" t="str">
        <v xml:space="preserve"> </v>
      </c>
      <c r="P312" t="str">
        <v xml:space="preserve"> </v>
      </c>
      <c r="Q312" s="2">
        <v>44653</v>
      </c>
      <c r="R312" s="2" t="str">
        <v xml:space="preserve"> </v>
      </c>
      <c r="S312" t="str">
        <v>01/01/2019-12/31/9999</v>
      </c>
      <c r="T312" t="str">
        <v>Anthem Health Care Plus+</v>
      </c>
    </row>
    <row r="313" spans="1:20" x14ac:dyDescent="0.25">
      <c r="A313" s="3">
        <v>65613</v>
      </c>
      <c r="B313">
        <v>564195091</v>
      </c>
      <c r="C313" t="s">
        <v>599</v>
      </c>
      <c r="D313" t="s">
        <v>598</v>
      </c>
      <c r="E313" t="s">
        <v>24</v>
      </c>
      <c r="F313" s="2">
        <v>43922</v>
      </c>
      <c r="H313" t="str" cm="1">
        <f t="array" aca="1" ref="H313" ca="1">CELL("address",_xlfn.XLOOKUP(A313,Sheet1!C:C,Sheet1!C:C))</f>
        <v>[match.xlsx]Sheet1!$C$336</v>
      </c>
      <c r="I313" t="str" cm="1">
        <f t="array" ref="I313:T313">_xlfn.XLOOKUP(A313,Sheet1!C:C,Sheet1!A:L)</f>
        <v>McCart</v>
      </c>
      <c r="J313" t="str">
        <v>Marilyn</v>
      </c>
      <c r="K313">
        <v>65613</v>
      </c>
      <c r="L313" t="str">
        <v>951240705-SO CAL GAS</v>
      </c>
      <c r="M313">
        <v>2022</v>
      </c>
      <c r="N313" t="str">
        <v>Individual is enrolled in a COBRA or Retiree plan coverage that was not sent on a current post-enrollment reporting year import</v>
      </c>
      <c r="O313" t="str">
        <v xml:space="preserve"> </v>
      </c>
      <c r="P313" t="str">
        <v xml:space="preserve"> </v>
      </c>
      <c r="Q313" s="2">
        <v>44653</v>
      </c>
      <c r="R313" s="2" t="str">
        <v xml:space="preserve"> </v>
      </c>
      <c r="S313" t="str">
        <v>04/01/2020-12/31/9999</v>
      </c>
      <c r="T313" t="str">
        <v>Anthem Health Care Plus+</v>
      </c>
    </row>
    <row r="314" spans="1:20" x14ac:dyDescent="0.25">
      <c r="A314" s="3">
        <v>77182</v>
      </c>
      <c r="B314">
        <v>395605995</v>
      </c>
      <c r="C314" t="s">
        <v>1180</v>
      </c>
      <c r="D314" t="s">
        <v>1181</v>
      </c>
      <c r="E314" t="s">
        <v>24</v>
      </c>
      <c r="F314" s="2">
        <v>43101</v>
      </c>
      <c r="H314" t="str" cm="1">
        <f t="array" aca="1" ref="H314" ca="1">CELL("address",_xlfn.XLOOKUP(A314,Sheet1!C:C,Sheet1!C:C))</f>
        <v>[match.xlsx]Sheet1!$C$485</v>
      </c>
      <c r="I314" t="str" cm="1">
        <f t="array" ref="I314:T314">_xlfn.XLOOKUP(A314,Sheet1!C:C,Sheet1!A:L)</f>
        <v>Seifert</v>
      </c>
      <c r="J314" t="str">
        <v>James</v>
      </c>
      <c r="K314">
        <v>77182</v>
      </c>
      <c r="L314" t="str">
        <v>951184800-SAN DIEGO GAS &amp; ELECTRIC</v>
      </c>
      <c r="M314">
        <v>2022</v>
      </c>
      <c r="N314" t="str">
        <v>Individual is enrolled in a COBRA or Retiree plan coverage that was not sent on a current post-enrollment reporting year import</v>
      </c>
      <c r="O314" t="str">
        <v xml:space="preserve"> </v>
      </c>
      <c r="P314" t="str">
        <v xml:space="preserve"> </v>
      </c>
      <c r="Q314" s="2">
        <v>44653</v>
      </c>
      <c r="R314" s="2" t="str">
        <v xml:space="preserve"> </v>
      </c>
      <c r="S314" t="str">
        <v>01/01/2018-12/31/9999</v>
      </c>
      <c r="T314" t="str">
        <v>Anthem Health Care Plus+</v>
      </c>
    </row>
    <row r="315" spans="1:20" x14ac:dyDescent="0.25">
      <c r="A315" s="3">
        <v>48020</v>
      </c>
      <c r="B315">
        <v>564949147</v>
      </c>
      <c r="C315" t="s">
        <v>355</v>
      </c>
      <c r="D315" t="s">
        <v>354</v>
      </c>
      <c r="E315" t="s">
        <v>969</v>
      </c>
      <c r="F315" s="2">
        <v>44348</v>
      </c>
      <c r="H315" t="str" cm="1">
        <f t="array" aca="1" ref="H315" ca="1">CELL("address",_xlfn.XLOOKUP(A315,Sheet1!C:C,Sheet1!C:C))</f>
        <v>[match.xlsx]Sheet1!$C$170</v>
      </c>
      <c r="I315" t="str" cm="1">
        <f t="array" ref="I315:T315">_xlfn.XLOOKUP(A315,Sheet1!C:C,Sheet1!A:L)</f>
        <v>Gendron</v>
      </c>
      <c r="J315" t="str">
        <v>Paul</v>
      </c>
      <c r="K315">
        <v>48020</v>
      </c>
      <c r="L315" t="str">
        <v>951240705-SO CAL GAS</v>
      </c>
      <c r="M315">
        <v>2022</v>
      </c>
      <c r="N315" t="str">
        <v>Individual is enrolled in a COBRA or Retiree plan coverage that was not sent on a current post-enrollment reporting year import</v>
      </c>
      <c r="O315" t="str">
        <v xml:space="preserve"> </v>
      </c>
      <c r="P315" t="str">
        <v xml:space="preserve"> </v>
      </c>
      <c r="Q315" s="2">
        <v>44653</v>
      </c>
      <c r="R315" s="2" t="str">
        <v xml:space="preserve"> </v>
      </c>
      <c r="S315" t="str">
        <v>01/01/2019-12/31/9999</v>
      </c>
      <c r="T315" t="str">
        <v>Anthem Health Care Plus+</v>
      </c>
    </row>
    <row r="316" spans="1:20" x14ac:dyDescent="0.25">
      <c r="A316" s="3">
        <v>18550</v>
      </c>
      <c r="B316">
        <v>471903569</v>
      </c>
      <c r="C316" t="s">
        <v>699</v>
      </c>
      <c r="D316" t="s">
        <v>697</v>
      </c>
      <c r="E316" t="s">
        <v>71</v>
      </c>
      <c r="F316" s="2">
        <v>43862</v>
      </c>
      <c r="H316" t="str" cm="1">
        <f t="array" aca="1" ref="H316" ca="1">CELL("address",_xlfn.XLOOKUP(A316,Sheet1!C:C,Sheet1!C:C))</f>
        <v>[match.xlsx]Sheet1!$C$414</v>
      </c>
      <c r="I316" t="str" cm="1">
        <f t="array" ref="I316:T316">_xlfn.XLOOKUP(A316,Sheet1!C:C,Sheet1!A:L)</f>
        <v>Peterson</v>
      </c>
      <c r="J316" t="str">
        <v>Jody</v>
      </c>
      <c r="K316">
        <v>18550</v>
      </c>
      <c r="L316" t="str">
        <v>330732627-SEMPRA ENERGY</v>
      </c>
      <c r="M316">
        <v>2022</v>
      </c>
      <c r="N316" t="str">
        <v>Individual is enrolled in a COBRA or Retiree plan coverage that was not sent on a current post-enrollment reporting year import</v>
      </c>
      <c r="O316" t="str">
        <v xml:space="preserve"> </v>
      </c>
      <c r="P316" t="str">
        <v xml:space="preserve"> </v>
      </c>
      <c r="Q316" s="2">
        <v>44653</v>
      </c>
      <c r="R316" s="2" t="str">
        <v xml:space="preserve"> </v>
      </c>
      <c r="S316" t="str">
        <v>02/01/2020-12/31/9999</v>
      </c>
      <c r="T316" t="str">
        <v>Anthem Select HMO</v>
      </c>
    </row>
    <row r="317" spans="1:20" x14ac:dyDescent="0.25">
      <c r="A317" s="3">
        <v>44992</v>
      </c>
      <c r="B317">
        <v>561192742</v>
      </c>
      <c r="C317" t="s">
        <v>1182</v>
      </c>
      <c r="D317" t="s">
        <v>1183</v>
      </c>
      <c r="E317" t="s">
        <v>31</v>
      </c>
      <c r="F317" s="2">
        <v>43466</v>
      </c>
      <c r="H317" t="str" cm="1">
        <f t="array" aca="1" ref="H317" ca="1">CELL("address",_xlfn.XLOOKUP(A317,Sheet1!C:C,Sheet1!C:C))</f>
        <v>[match.xlsx]Sheet1!$C$152</v>
      </c>
      <c r="I317" t="str" cm="1">
        <f t="array" ref="I317:T317">_xlfn.XLOOKUP(A317,Sheet1!C:C,Sheet1!A:L)</f>
        <v>Flynn</v>
      </c>
      <c r="J317" t="str">
        <v>George</v>
      </c>
      <c r="K317">
        <v>44992</v>
      </c>
      <c r="L317" t="str">
        <v>951240705-SO CAL GAS</v>
      </c>
      <c r="M317">
        <v>2022</v>
      </c>
      <c r="N317" t="str">
        <v>Individual is enrolled in a COBRA or Retiree plan coverage that was not sent on a current post-enrollment reporting year import</v>
      </c>
      <c r="O317" t="str">
        <v xml:space="preserve"> </v>
      </c>
      <c r="P317" t="str">
        <v xml:space="preserve"> </v>
      </c>
      <c r="Q317" s="2">
        <v>44653</v>
      </c>
      <c r="R317" s="2" t="str">
        <v xml:space="preserve"> </v>
      </c>
      <c r="S317" t="str">
        <v>01/01/2019-12/31/9999</v>
      </c>
      <c r="T317" t="str">
        <v>Anthem California Care HMO</v>
      </c>
    </row>
    <row r="318" spans="1:20" x14ac:dyDescent="0.25">
      <c r="A318" s="3">
        <v>49649</v>
      </c>
      <c r="B318">
        <v>554178982</v>
      </c>
      <c r="C318" t="s">
        <v>990</v>
      </c>
      <c r="D318" t="s">
        <v>1184</v>
      </c>
      <c r="E318" t="s">
        <v>24</v>
      </c>
      <c r="F318" s="2">
        <v>43647</v>
      </c>
      <c r="H318" t="str" cm="1">
        <f t="array" aca="1" ref="H318" ca="1">CELL("address",_xlfn.XLOOKUP(A318,Sheet1!C:C,Sheet1!C:C))</f>
        <v>[match.xlsx]Sheet1!$C$284</v>
      </c>
      <c r="I318" t="str" cm="1">
        <f t="array" ref="I318:T318">_xlfn.XLOOKUP(A318,Sheet1!C:C,Sheet1!A:L)</f>
        <v>Lauzier</v>
      </c>
      <c r="J318" t="str">
        <v>Robert</v>
      </c>
      <c r="K318">
        <v>49649</v>
      </c>
      <c r="L318" t="str">
        <v>951184800-SAN DIEGO GAS &amp; ELECTRIC</v>
      </c>
      <c r="M318">
        <v>2022</v>
      </c>
      <c r="N318" t="str">
        <v>Individual is enrolled in a COBRA or Retiree plan coverage that was not sent on a current post-enrollment reporting year import</v>
      </c>
      <c r="O318" t="str">
        <v xml:space="preserve"> </v>
      </c>
      <c r="P318" t="str">
        <v xml:space="preserve"> </v>
      </c>
      <c r="Q318" s="2">
        <v>44653</v>
      </c>
      <c r="R318" s="2" t="str">
        <v xml:space="preserve"> </v>
      </c>
      <c r="S318" t="str">
        <v>07/01/2019-12/31/9999</v>
      </c>
      <c r="T318" t="str">
        <v>Anthem Health Care Plus+</v>
      </c>
    </row>
    <row r="319" spans="1:20" x14ac:dyDescent="0.25">
      <c r="A319" s="3">
        <v>42650</v>
      </c>
      <c r="B319">
        <v>557311926</v>
      </c>
      <c r="C319" t="s">
        <v>1185</v>
      </c>
      <c r="D319" t="s">
        <v>1186</v>
      </c>
      <c r="E319" t="s">
        <v>24</v>
      </c>
      <c r="F319" s="2">
        <v>43101</v>
      </c>
      <c r="H319" t="str" cm="1">
        <f t="array" aca="1" ref="H319" ca="1">CELL("address",_xlfn.XLOOKUP(A319,Sheet1!C:C,Sheet1!C:C))</f>
        <v>[match.xlsx]Sheet1!$C$239</v>
      </c>
      <c r="I319" t="str" cm="1">
        <f t="array" ref="I319:T319">_xlfn.XLOOKUP(A319,Sheet1!C:C,Sheet1!A:L)</f>
        <v>Jaime</v>
      </c>
      <c r="J319" t="str">
        <v>Irma</v>
      </c>
      <c r="K319">
        <v>42650</v>
      </c>
      <c r="L319" t="str">
        <v>951184800-SAN DIEGO GAS &amp; ELECTRIC</v>
      </c>
      <c r="M319">
        <v>2022</v>
      </c>
      <c r="N319" t="str">
        <v>Individual is enrolled in a COBRA or Retiree plan coverage that was not sent on a current post-enrollment reporting year import</v>
      </c>
      <c r="O319" t="str">
        <v xml:space="preserve"> </v>
      </c>
      <c r="P319" t="str">
        <v xml:space="preserve"> </v>
      </c>
      <c r="Q319" s="2">
        <v>44653</v>
      </c>
      <c r="R319" s="2" t="str">
        <v xml:space="preserve"> </v>
      </c>
      <c r="S319" t="str">
        <v>01/01/2018-12/31/9999</v>
      </c>
      <c r="T319" t="str">
        <v>Anthem Health Care Plus+</v>
      </c>
    </row>
    <row r="320" spans="1:20" x14ac:dyDescent="0.25">
      <c r="A320" s="3">
        <v>10681</v>
      </c>
      <c r="B320">
        <v>361386663</v>
      </c>
      <c r="C320" t="s">
        <v>14</v>
      </c>
      <c r="D320" t="s">
        <v>155</v>
      </c>
      <c r="E320" t="s">
        <v>24</v>
      </c>
      <c r="F320" s="2">
        <v>43405</v>
      </c>
      <c r="H320" t="str" cm="1">
        <f t="array" aca="1" ref="H320" ca="1">CELL("address",_xlfn.XLOOKUP(A320,Sheet1!C:C,Sheet1!C:C))</f>
        <v>[match.xlsx]Sheet1!$C$61</v>
      </c>
      <c r="I320" t="str" cm="1">
        <f t="array" ref="I320:T320">_xlfn.XLOOKUP(A320,Sheet1!C:C,Sheet1!A:L)</f>
        <v>Brown</v>
      </c>
      <c r="J320" t="str">
        <v>Linda</v>
      </c>
      <c r="K320">
        <v>10681</v>
      </c>
      <c r="L320" t="str">
        <v>951184800-SAN DIEGO GAS &amp; ELECTRIC</v>
      </c>
      <c r="M320">
        <v>2022</v>
      </c>
      <c r="N320" t="str">
        <v>Individual is enrolled in a COBRA or Retiree plan coverage that was not sent on a current post-enrollment reporting year import</v>
      </c>
      <c r="O320" t="str">
        <v xml:space="preserve"> </v>
      </c>
      <c r="P320" t="str">
        <v xml:space="preserve"> </v>
      </c>
      <c r="Q320" s="2">
        <v>44653</v>
      </c>
      <c r="R320" s="2" t="str">
        <v xml:space="preserve"> </v>
      </c>
      <c r="S320" t="str">
        <v>11/01/2018-12/31/9999</v>
      </c>
      <c r="T320" t="str">
        <v>Anthem Health Care Plus+</v>
      </c>
    </row>
    <row r="321" spans="1:20" x14ac:dyDescent="0.25">
      <c r="A321" s="3">
        <v>37371</v>
      </c>
      <c r="B321">
        <v>550929145</v>
      </c>
      <c r="C321" t="s">
        <v>1187</v>
      </c>
      <c r="D321" t="s">
        <v>1188</v>
      </c>
      <c r="E321" t="s">
        <v>966</v>
      </c>
      <c r="F321" s="2">
        <v>43983</v>
      </c>
      <c r="H321" t="str" cm="1">
        <f t="array" aca="1" ref="H321" ca="1">CELL("address",_xlfn.XLOOKUP(A321,Sheet1!C:C,Sheet1!C:C))</f>
        <v>[match.xlsx]Sheet1!$C$211</v>
      </c>
      <c r="I321" t="str" cm="1">
        <f t="array" ref="I321:T321">_xlfn.XLOOKUP(A321,Sheet1!C:C,Sheet1!A:L)</f>
        <v>Henderson</v>
      </c>
      <c r="J321" t="str">
        <v>Brian</v>
      </c>
      <c r="K321">
        <v>37371</v>
      </c>
      <c r="L321" t="str">
        <v>951184800-SAN DIEGO GAS &amp; ELECTRIC</v>
      </c>
      <c r="M321">
        <v>2022</v>
      </c>
      <c r="N321" t="str">
        <v>Individual is enrolled in a COBRA or Retiree plan coverage that was not sent on a current post-enrollment reporting year import</v>
      </c>
      <c r="O321" t="str">
        <v xml:space="preserve"> </v>
      </c>
      <c r="P321" t="str">
        <v xml:space="preserve"> </v>
      </c>
      <c r="Q321" s="2">
        <v>44653</v>
      </c>
      <c r="R321" s="2" t="str">
        <v xml:space="preserve"> </v>
      </c>
      <c r="S321" t="str">
        <v>01/01/2018-12/31/9999</v>
      </c>
      <c r="T321" t="str">
        <v>Anthem Select Plus HMO</v>
      </c>
    </row>
    <row r="322" spans="1:20" x14ac:dyDescent="0.25">
      <c r="A322" s="3">
        <v>32435</v>
      </c>
      <c r="B322">
        <v>561155205</v>
      </c>
      <c r="C322" t="s">
        <v>397</v>
      </c>
      <c r="D322" t="s">
        <v>396</v>
      </c>
      <c r="E322" t="s">
        <v>24</v>
      </c>
      <c r="F322" s="2">
        <v>43709</v>
      </c>
      <c r="H322" t="str" cm="1">
        <f t="array" aca="1" ref="H322" ca="1">CELL("address",_xlfn.XLOOKUP(A322,Sheet1!C:C,Sheet1!C:C))</f>
        <v>[match.xlsx]Sheet1!$C$193</v>
      </c>
      <c r="I322" t="str" cm="1">
        <f t="array" ref="I322:T322">_xlfn.XLOOKUP(A322,Sheet1!C:C,Sheet1!A:L)</f>
        <v>Gutierrez</v>
      </c>
      <c r="J322" t="str">
        <v>Maria</v>
      </c>
      <c r="K322">
        <v>32435</v>
      </c>
      <c r="L322" t="str">
        <v>330732627-SEMPRA ENERGY</v>
      </c>
      <c r="M322">
        <v>2022</v>
      </c>
      <c r="N322" t="str">
        <v>Individual is enrolled in a COBRA or Retiree plan coverage that was not sent on a current post-enrollment reporting year import</v>
      </c>
      <c r="O322" t="str">
        <v xml:space="preserve"> </v>
      </c>
      <c r="P322" t="str">
        <v xml:space="preserve"> </v>
      </c>
      <c r="Q322" s="2">
        <v>44653</v>
      </c>
      <c r="R322" s="2" t="str">
        <v xml:space="preserve"> </v>
      </c>
      <c r="S322" t="str">
        <v>09/01/2019-12/31/9999</v>
      </c>
      <c r="T322" t="str">
        <v>Anthem Health Care Plus+</v>
      </c>
    </row>
    <row r="323" spans="1:20" x14ac:dyDescent="0.25">
      <c r="A323" s="3">
        <v>37165</v>
      </c>
      <c r="B323">
        <v>551152484</v>
      </c>
      <c r="C323" t="s">
        <v>1084</v>
      </c>
      <c r="D323" t="s">
        <v>1189</v>
      </c>
      <c r="E323" t="s">
        <v>1070</v>
      </c>
      <c r="F323" s="2">
        <v>44593</v>
      </c>
      <c r="H323" t="str" cm="1">
        <f t="array" aca="1" ref="H323" ca="1">CELL("address",_xlfn.XLOOKUP(A323,Sheet1!C:C,Sheet1!C:C))</f>
        <v>[match.xlsx]Sheet1!$C$427</v>
      </c>
      <c r="I323" t="str" cm="1">
        <f t="array" ref="I323:T323">_xlfn.XLOOKUP(A323,Sheet1!C:C,Sheet1!A:L)</f>
        <v>Rasile</v>
      </c>
      <c r="J323" t="str">
        <v>Mark</v>
      </c>
      <c r="K323">
        <v>37165</v>
      </c>
      <c r="L323" t="str">
        <v>951240705-SO CAL GAS</v>
      </c>
      <c r="M323">
        <v>2022</v>
      </c>
      <c r="N323" t="str">
        <v>Individual is enrolled in a COBRA or Retiree plan coverage that was not sent on a current post-enrollment reporting year import</v>
      </c>
      <c r="O323" t="str">
        <v xml:space="preserve"> </v>
      </c>
      <c r="P323" t="str">
        <v xml:space="preserve"> </v>
      </c>
      <c r="Q323" s="2">
        <v>44653</v>
      </c>
      <c r="R323" s="2" t="str">
        <v xml:space="preserve"> </v>
      </c>
      <c r="S323" t="str">
        <v>11/01/2018-01/31/2022</v>
      </c>
      <c r="T323" t="str">
        <v>Anthem Health Care Plus+</v>
      </c>
    </row>
    <row r="324" spans="1:20" x14ac:dyDescent="0.25">
      <c r="A324" s="3">
        <v>58109</v>
      </c>
      <c r="B324">
        <v>427927197</v>
      </c>
      <c r="C324" t="s">
        <v>1095</v>
      </c>
      <c r="D324" t="s">
        <v>1190</v>
      </c>
      <c r="E324" t="s">
        <v>71</v>
      </c>
      <c r="F324" s="2">
        <v>44621</v>
      </c>
      <c r="H324" t="str" cm="1">
        <f t="array" aca="1" ref="H324" ca="1">CELL("address",_xlfn.XLOOKUP(A324,Sheet1!C:C,Sheet1!C:C))</f>
        <v>[match.xlsx]Sheet1!$C$159</v>
      </c>
      <c r="I324" t="str" cm="1">
        <f t="array" ref="I324:T324">_xlfn.XLOOKUP(A324,Sheet1!C:C,Sheet1!A:L)</f>
        <v>Fratamico</v>
      </c>
      <c r="J324" t="str">
        <v>Susan</v>
      </c>
      <c r="K324">
        <v>58109</v>
      </c>
      <c r="L324" t="str">
        <v>474996138-SEMPRA LNG &amp; MIDSTREAM LLC</v>
      </c>
      <c r="M324">
        <v>2022</v>
      </c>
      <c r="N324" t="str">
        <v>Individual is enrolled in a COBRA or Retiree plan coverage that was not sent on a current post-enrollment reporting year import</v>
      </c>
      <c r="O324" t="str">
        <v xml:space="preserve"> </v>
      </c>
      <c r="P324" t="str">
        <v xml:space="preserve"> </v>
      </c>
      <c r="Q324" s="2">
        <v>44653</v>
      </c>
      <c r="R324" s="2" t="str">
        <v xml:space="preserve"> </v>
      </c>
      <c r="S324" t="str">
        <v>01/01/2018-02/28/2022</v>
      </c>
      <c r="T324" t="str">
        <v>Anthem Select HMO</v>
      </c>
    </row>
    <row r="325" spans="1:20" x14ac:dyDescent="0.25">
      <c r="A325" s="3">
        <v>4387</v>
      </c>
      <c r="B325">
        <v>336601877</v>
      </c>
      <c r="C325" t="s">
        <v>103</v>
      </c>
      <c r="D325" t="s">
        <v>560</v>
      </c>
      <c r="E325" t="s">
        <v>24</v>
      </c>
      <c r="F325" s="2">
        <v>44621</v>
      </c>
      <c r="H325" t="str" cm="1">
        <f t="array" aca="1" ref="H325" ca="1">CELL("address",_xlfn.XLOOKUP(A325,Sheet1!C:C,Sheet1!C:C))</f>
        <v>[match.xlsx]Sheet1!$C$308</v>
      </c>
      <c r="I325" t="str" cm="1">
        <f t="array" ref="I325:T325">_xlfn.XLOOKUP(A325,Sheet1!C:C,Sheet1!A:L)</f>
        <v>Logan</v>
      </c>
      <c r="J325" t="str">
        <v>Michael</v>
      </c>
      <c r="K325">
        <v>4387</v>
      </c>
      <c r="L325" t="str">
        <v>951184800-SAN DIEGO GAS &amp; ELECTRIC</v>
      </c>
      <c r="M325">
        <v>2022</v>
      </c>
      <c r="N325" t="str">
        <v>Individual is enrolled in a COBRA or Retiree plan coverage that was not sent on a current post-enrollment reporting year import</v>
      </c>
      <c r="O325" t="str">
        <v xml:space="preserve"> </v>
      </c>
      <c r="P325" t="str">
        <v xml:space="preserve"> </v>
      </c>
      <c r="Q325" s="2">
        <v>44653</v>
      </c>
      <c r="R325" s="2" t="str">
        <v xml:space="preserve"> </v>
      </c>
      <c r="S325" t="str">
        <v>11/01/2018-02/28/2022</v>
      </c>
      <c r="T325" t="str">
        <v>Anthem Health Care Plus+</v>
      </c>
    </row>
    <row r="326" spans="1:20" x14ac:dyDescent="0.25">
      <c r="A326" s="3">
        <v>84157</v>
      </c>
      <c r="B326">
        <v>566908163</v>
      </c>
      <c r="C326" t="s">
        <v>1191</v>
      </c>
      <c r="D326" t="s">
        <v>1192</v>
      </c>
      <c r="E326" t="s">
        <v>936</v>
      </c>
      <c r="F326" s="2">
        <v>44621</v>
      </c>
      <c r="H326" t="str" cm="1">
        <f t="array" aca="1" ref="H326" ca="1">CELL("address",_xlfn.XLOOKUP(A326,Sheet1!C:C,Sheet1!C:C))</f>
        <v>[match.xlsx]Sheet1!$C$523</v>
      </c>
      <c r="I326" t="str" cm="1">
        <f t="array" ref="I326:T326">_xlfn.XLOOKUP(A326,Sheet1!C:C,Sheet1!A:L)</f>
        <v>Strukelj</v>
      </c>
      <c r="J326" t="str">
        <v>Joseph</v>
      </c>
      <c r="K326">
        <v>84157</v>
      </c>
      <c r="L326" t="str">
        <v>951184800-SAN DIEGO GAS &amp; ELECTRIC</v>
      </c>
      <c r="M326">
        <v>2022</v>
      </c>
      <c r="N326" t="str">
        <v>Individual is enrolled in a COBRA or Retiree plan coverage that was not sent on a current post-enrollment reporting year import</v>
      </c>
      <c r="O326" t="str">
        <v xml:space="preserve"> </v>
      </c>
      <c r="P326" t="str">
        <v xml:space="preserve"> </v>
      </c>
      <c r="Q326" s="2">
        <v>44653</v>
      </c>
      <c r="R326" s="2" t="str">
        <v xml:space="preserve"> </v>
      </c>
      <c r="S326" t="str">
        <v>05/01/2018-12/31/9999</v>
      </c>
      <c r="T326" t="str">
        <v>Anthem Health Care Plus+</v>
      </c>
    </row>
    <row r="327" spans="1:20" x14ac:dyDescent="0.25">
      <c r="A327" s="3">
        <v>86481</v>
      </c>
      <c r="B327">
        <v>5660269</v>
      </c>
      <c r="C327" t="s">
        <v>1193</v>
      </c>
      <c r="D327" t="s">
        <v>1194</v>
      </c>
      <c r="E327" t="s">
        <v>969</v>
      </c>
      <c r="F327" s="2">
        <v>44621</v>
      </c>
      <c r="H327" t="str" cm="1">
        <f t="array" aca="1" ref="H327" ca="1">CELL("address",_xlfn.XLOOKUP(A327,Sheet1!C:C,Sheet1!C:C))</f>
        <v>[match.xlsx]Sheet1!$C$130</v>
      </c>
      <c r="I327" t="str" cm="1">
        <f t="array" ref="I327:T327">_xlfn.XLOOKUP(A327,Sheet1!C:C,Sheet1!A:L)</f>
        <v>Eklund</v>
      </c>
      <c r="J327" t="str">
        <v>Pauline</v>
      </c>
      <c r="K327">
        <v>86481</v>
      </c>
      <c r="L327" t="str">
        <v>951184800-SAN DIEGO GAS &amp; ELECTRIC</v>
      </c>
      <c r="M327">
        <v>2022</v>
      </c>
      <c r="N327" t="str">
        <v>Individual is enrolled in a COBRA or Retiree plan coverage that was not sent on a current post-enrollment reporting year import</v>
      </c>
      <c r="O327" t="str">
        <v xml:space="preserve"> </v>
      </c>
      <c r="P327" t="str">
        <v xml:space="preserve"> </v>
      </c>
      <c r="Q327" s="2">
        <v>44653</v>
      </c>
      <c r="R327" s="2" t="str">
        <v xml:space="preserve"> </v>
      </c>
      <c r="S327" t="str">
        <v>01/01/2018-02/28/2022</v>
      </c>
      <c r="T327" t="str">
        <v>Anthem Select HMO</v>
      </c>
    </row>
    <row r="328" spans="1:20" x14ac:dyDescent="0.25">
      <c r="A328" s="3">
        <v>61740</v>
      </c>
      <c r="B328">
        <v>566256491</v>
      </c>
      <c r="C328" t="s">
        <v>452</v>
      </c>
      <c r="D328" t="s">
        <v>451</v>
      </c>
      <c r="E328" t="s">
        <v>1070</v>
      </c>
      <c r="F328" s="2">
        <v>44621</v>
      </c>
      <c r="H328" t="str" cm="1">
        <f t="array" aca="1" ref="H328" ca="1">CELL("address",_xlfn.XLOOKUP(A328,Sheet1!C:C,Sheet1!C:C))</f>
        <v>[match.xlsx]Sheet1!$C$231</v>
      </c>
      <c r="I328" t="str" cm="1">
        <f t="array" ref="I328:T328">_xlfn.XLOOKUP(A328,Sheet1!C:C,Sheet1!A:L)</f>
        <v>Illingworth</v>
      </c>
      <c r="J328" t="str">
        <v>Robin</v>
      </c>
      <c r="K328">
        <v>61740</v>
      </c>
      <c r="L328" t="str">
        <v>330732627-SEMPRA ENERGY</v>
      </c>
      <c r="M328">
        <v>2022</v>
      </c>
      <c r="N328" t="str">
        <v>Individual is enrolled in a COBRA or Retiree plan coverage that was not sent on a current post-enrollment reporting year import</v>
      </c>
      <c r="O328" t="str">
        <v xml:space="preserve"> </v>
      </c>
      <c r="P328" t="str">
        <v xml:space="preserve"> </v>
      </c>
      <c r="Q328" s="2">
        <v>44653</v>
      </c>
      <c r="R328" s="2" t="str">
        <v xml:space="preserve"> </v>
      </c>
      <c r="S328" t="str">
        <v>08/01/2019-02/28/2022</v>
      </c>
      <c r="T328" t="str">
        <v>Anthem Select HMO</v>
      </c>
    </row>
    <row r="329" spans="1:20" x14ac:dyDescent="0.25">
      <c r="A329" s="3">
        <v>50453</v>
      </c>
      <c r="B329">
        <v>557312415</v>
      </c>
      <c r="C329" t="s">
        <v>194</v>
      </c>
      <c r="D329" t="s">
        <v>538</v>
      </c>
      <c r="E329" t="s">
        <v>1070</v>
      </c>
      <c r="F329" s="2">
        <v>44621</v>
      </c>
      <c r="H329" t="str" cm="1">
        <f t="array" aca="1" ref="H329" ca="1">CELL("address",_xlfn.XLOOKUP(A329,Sheet1!C:C,Sheet1!C:C))</f>
        <v>[match.xlsx]Sheet1!$C$293</v>
      </c>
      <c r="I329" t="str" cm="1">
        <f t="array" ref="I329:T329">_xlfn.XLOOKUP(A329,Sheet1!C:C,Sheet1!A:L)</f>
        <v>Leso</v>
      </c>
      <c r="J329" t="str">
        <v>Raul</v>
      </c>
      <c r="K329">
        <v>50453</v>
      </c>
      <c r="L329" t="str">
        <v>951184800-SAN DIEGO GAS &amp; ELECTRIC</v>
      </c>
      <c r="M329">
        <v>2022</v>
      </c>
      <c r="N329" t="str">
        <v>Individual is enrolled in a COBRA or Retiree plan coverage that was not sent on a current post-enrollment reporting year import</v>
      </c>
      <c r="O329" t="str">
        <v xml:space="preserve"> </v>
      </c>
      <c r="P329" t="str">
        <v xml:space="preserve"> </v>
      </c>
      <c r="Q329" s="2">
        <v>44653</v>
      </c>
      <c r="R329" s="2" t="str">
        <v xml:space="preserve"> </v>
      </c>
      <c r="S329" t="str">
        <v>05/01/2019-12/31/9999</v>
      </c>
      <c r="T329" t="str">
        <v>Anthem Select HMO</v>
      </c>
    </row>
    <row r="330" spans="1:20" x14ac:dyDescent="0.25">
      <c r="A330" s="3">
        <v>43271</v>
      </c>
      <c r="B330">
        <v>559255793</v>
      </c>
      <c r="C330" t="s">
        <v>1084</v>
      </c>
      <c r="D330" t="s">
        <v>1195</v>
      </c>
      <c r="E330" t="s">
        <v>966</v>
      </c>
      <c r="F330" s="2">
        <v>44652</v>
      </c>
      <c r="H330" t="str" cm="1">
        <f t="array" aca="1" ref="H330" ca="1">CELL("address",_xlfn.XLOOKUP(A330,Sheet1!C:C,Sheet1!C:C))</f>
        <v>[match.xlsx]Sheet1!$C$317</v>
      </c>
      <c r="I330" t="str" cm="1">
        <f t="array" ref="I330:T330">_xlfn.XLOOKUP(A330,Sheet1!C:C,Sheet1!A:L)</f>
        <v>Lujan</v>
      </c>
      <c r="J330" t="str">
        <v>Mark</v>
      </c>
      <c r="K330">
        <v>43271</v>
      </c>
      <c r="L330" t="str">
        <v>951240705-SO CAL GAS</v>
      </c>
      <c r="M330">
        <v>2022</v>
      </c>
      <c r="N330" t="str">
        <v>Individual is enrolled in a COBRA or Retiree plan coverage that was not sent on a current post-enrollment reporting year import</v>
      </c>
      <c r="O330" t="str">
        <v xml:space="preserve"> </v>
      </c>
      <c r="P330" t="str">
        <v xml:space="preserve"> </v>
      </c>
      <c r="Q330" s="2">
        <v>44653</v>
      </c>
      <c r="R330" s="2" t="str">
        <v xml:space="preserve"> </v>
      </c>
      <c r="S330" t="str">
        <v>01/01/2019-03/31/2022</v>
      </c>
      <c r="T330" t="str">
        <v>Anthem California Care HMO</v>
      </c>
    </row>
    <row r="331" spans="1:20" x14ac:dyDescent="0.25">
      <c r="A331" s="3">
        <v>29901</v>
      </c>
      <c r="B331">
        <v>566175819</v>
      </c>
      <c r="C331" t="s">
        <v>1196</v>
      </c>
      <c r="D331" t="s">
        <v>1197</v>
      </c>
      <c r="E331" t="s">
        <v>969</v>
      </c>
      <c r="F331" s="2">
        <v>44652</v>
      </c>
      <c r="H331" t="str" cm="1">
        <f t="array" aca="1" ref="H331" ca="1">CELL("address",_xlfn.XLOOKUP(A331,Sheet1!C:C,Sheet1!C:C))</f>
        <v>[match.xlsx]Sheet1!$C$162</v>
      </c>
      <c r="I331" t="str" cm="1">
        <f t="array" ref="I331:T331">_xlfn.XLOOKUP(A331,Sheet1!C:C,Sheet1!A:L)</f>
        <v>Frost</v>
      </c>
      <c r="J331" t="str">
        <v>Grant</v>
      </c>
      <c r="K331">
        <v>29901</v>
      </c>
      <c r="L331" t="str">
        <v>951184800-SAN DIEGO GAS &amp; ELECTRIC</v>
      </c>
      <c r="M331">
        <v>2022</v>
      </c>
      <c r="N331" t="str">
        <v>Individual is enrolled in a COBRA or Retiree plan coverage that was not sent on a current post-enrollment reporting year import</v>
      </c>
      <c r="O331" t="str">
        <v xml:space="preserve"> </v>
      </c>
      <c r="P331" t="str">
        <v xml:space="preserve"> </v>
      </c>
      <c r="Q331" s="2">
        <v>44653</v>
      </c>
      <c r="R331" s="2" t="str">
        <v xml:space="preserve"> </v>
      </c>
      <c r="S331" t="str">
        <v>01/01/2018-03/31/2022</v>
      </c>
      <c r="T331" t="str">
        <v>Anthem Health Care Plus+</v>
      </c>
    </row>
    <row r="332" spans="1:20" x14ac:dyDescent="0.25">
      <c r="A332" s="3">
        <v>25009</v>
      </c>
      <c r="B332">
        <v>395645899</v>
      </c>
      <c r="C332" t="s">
        <v>1198</v>
      </c>
      <c r="D332" t="s">
        <v>1199</v>
      </c>
      <c r="E332" t="s">
        <v>969</v>
      </c>
      <c r="F332" s="2">
        <v>44652</v>
      </c>
      <c r="H332" t="str" cm="1">
        <f t="array" aca="1" ref="H332" ca="1">CELL("address",_xlfn.XLOOKUP(A332,Sheet1!C:C,Sheet1!C:C))</f>
        <v>[match.xlsx]Sheet1!$C$120</v>
      </c>
      <c r="I332" t="str" cm="1">
        <f t="array" ref="I332:T332">_xlfn.XLOOKUP(A332,Sheet1!C:C,Sheet1!A:L)</f>
        <v>Dorsano</v>
      </c>
      <c r="J332" t="str">
        <v>Nick</v>
      </c>
      <c r="K332">
        <v>25009</v>
      </c>
      <c r="L332" t="str">
        <v>951184800-SAN DIEGO GAS &amp; ELECTRIC</v>
      </c>
      <c r="M332">
        <v>2022</v>
      </c>
      <c r="N332" t="str">
        <v>Individual is enrolled in a COBRA or Retiree plan coverage that was not sent on a current post-enrollment reporting year import</v>
      </c>
      <c r="O332" t="str">
        <v xml:space="preserve"> </v>
      </c>
      <c r="P332" t="str">
        <v xml:space="preserve"> </v>
      </c>
      <c r="Q332" s="2">
        <v>44653</v>
      </c>
      <c r="R332" s="2" t="str">
        <v xml:space="preserve"> </v>
      </c>
      <c r="S332" t="str">
        <v>01/01/2018-03/31/2022</v>
      </c>
      <c r="T332" t="str">
        <v>Anthem Health Care Plus+</v>
      </c>
    </row>
    <row r="333" spans="1:20" x14ac:dyDescent="0.25">
      <c r="A333" s="3">
        <v>10535</v>
      </c>
      <c r="B333">
        <v>503729728</v>
      </c>
      <c r="C333" t="s">
        <v>541</v>
      </c>
      <c r="D333" t="s">
        <v>540</v>
      </c>
      <c r="E333" t="s">
        <v>1070</v>
      </c>
      <c r="F333" s="2">
        <v>44652</v>
      </c>
      <c r="H333" t="str" cm="1">
        <f t="array" aca="1" ref="H333" ca="1">CELL("address",_xlfn.XLOOKUP(A333,Sheet1!C:C,Sheet1!C:C))</f>
        <v>[match.xlsx]Sheet1!$C$295</v>
      </c>
      <c r="I333" t="str" cm="1">
        <f t="array" ref="I333:T333">_xlfn.XLOOKUP(A333,Sheet1!C:C,Sheet1!A:L)</f>
        <v>Leuthe</v>
      </c>
      <c r="J333" t="str">
        <v>Dedra</v>
      </c>
      <c r="K333">
        <v>10535</v>
      </c>
      <c r="L333" t="str">
        <v>330732627-SEMPRA ENERGY</v>
      </c>
      <c r="M333">
        <v>2022</v>
      </c>
      <c r="N333" t="str">
        <v>Individual is enrolled in a COBRA or Retiree plan coverage that was not sent on a current post-enrollment reporting year import</v>
      </c>
      <c r="O333" t="str">
        <v xml:space="preserve"> </v>
      </c>
      <c r="P333" t="str">
        <v xml:space="preserve"> </v>
      </c>
      <c r="Q333" s="2">
        <v>44653</v>
      </c>
      <c r="R333" s="2" t="str">
        <v xml:space="preserve"> </v>
      </c>
      <c r="S333" t="str">
        <v>05/01/2018-03/31/2022</v>
      </c>
      <c r="T333" t="str">
        <v>Anthem Health Care Plus+</v>
      </c>
    </row>
    <row r="334" spans="1:20" x14ac:dyDescent="0.25">
      <c r="A334" s="3">
        <v>17729</v>
      </c>
      <c r="B334">
        <v>555236168</v>
      </c>
      <c r="C334" t="s">
        <v>207</v>
      </c>
      <c r="D334" t="s">
        <v>206</v>
      </c>
      <c r="E334" t="s">
        <v>969</v>
      </c>
      <c r="F334" s="2">
        <v>44652</v>
      </c>
      <c r="H334" t="str" cm="1">
        <f t="array" aca="1" ref="H334" ca="1">CELL("address",_xlfn.XLOOKUP(A334,Sheet1!C:C,Sheet1!C:C))</f>
        <v>[match.xlsx]Sheet1!$C$88</v>
      </c>
      <c r="I334" t="str" cm="1">
        <f t="array" ref="I334:T334">_xlfn.XLOOKUP(A334,Sheet1!C:C,Sheet1!A:L)</f>
        <v>Colling</v>
      </c>
      <c r="J334" t="str">
        <v>Martin</v>
      </c>
      <c r="K334">
        <v>17729</v>
      </c>
      <c r="L334" t="str">
        <v>951184800-SAN DIEGO GAS &amp; ELECTRIC</v>
      </c>
      <c r="M334">
        <v>2022</v>
      </c>
      <c r="N334" t="str">
        <v>Individual is enrolled in a COBRA or Retiree plan coverage that was not sent on a current post-enrollment reporting year import</v>
      </c>
      <c r="O334" t="str">
        <v xml:space="preserve"> </v>
      </c>
      <c r="P334" t="str">
        <v xml:space="preserve"> </v>
      </c>
      <c r="Q334" s="2">
        <v>44653</v>
      </c>
      <c r="R334" s="2" t="str">
        <v xml:space="preserve"> </v>
      </c>
      <c r="S334" t="str">
        <v>07/01/2019-03/31/2022</v>
      </c>
      <c r="T334" t="str">
        <v>Anthem Health Care Plus+</v>
      </c>
    </row>
    <row r="335" spans="1:20" x14ac:dyDescent="0.25">
      <c r="A335" s="3">
        <v>46514</v>
      </c>
      <c r="B335">
        <v>563046463</v>
      </c>
      <c r="C335" t="s">
        <v>74</v>
      </c>
      <c r="D335" t="s">
        <v>342</v>
      </c>
      <c r="E335" t="s">
        <v>966</v>
      </c>
      <c r="F335" s="2">
        <v>44621</v>
      </c>
      <c r="H335" t="str" cm="1">
        <f t="array" aca="1" ref="H335" ca="1">CELL("address",_xlfn.XLOOKUP(A335,Sheet1!C:C,Sheet1!C:C))</f>
        <v>[match.xlsx]Sheet1!$C$185</v>
      </c>
      <c r="I335" t="str" cm="1">
        <f t="array" ref="I335:T335">_xlfn.XLOOKUP(A335,Sheet1!C:C,Sheet1!A:L)</f>
        <v>Grant</v>
      </c>
      <c r="J335" t="str">
        <v>John</v>
      </c>
      <c r="K335">
        <v>46514</v>
      </c>
      <c r="L335" t="str">
        <v>951240705-SO CAL GAS</v>
      </c>
      <c r="M335">
        <v>2022</v>
      </c>
      <c r="N335" t="str">
        <v>Individual is enrolled in a COBRA or Retiree plan coverage that was not sent on a current post-enrollment reporting year import</v>
      </c>
      <c r="O335" t="str">
        <v xml:space="preserve"> </v>
      </c>
      <c r="P335" t="str">
        <v xml:space="preserve"> </v>
      </c>
      <c r="Q335" s="2">
        <v>44653</v>
      </c>
      <c r="R335" s="2" t="str">
        <v xml:space="preserve"> </v>
      </c>
      <c r="S335" t="str">
        <v>02/01/2020-01/31/2022</v>
      </c>
      <c r="T335" t="str">
        <v>Anthem Health Care Plus+</v>
      </c>
    </row>
    <row r="336" spans="1:20" x14ac:dyDescent="0.25">
      <c r="A336" s="3">
        <v>45035</v>
      </c>
      <c r="B336">
        <v>561234928</v>
      </c>
      <c r="C336" t="s">
        <v>1200</v>
      </c>
      <c r="D336" t="s">
        <v>1201</v>
      </c>
      <c r="E336" t="s">
        <v>969</v>
      </c>
      <c r="F336" s="2">
        <v>44682</v>
      </c>
      <c r="H336" t="str" cm="1">
        <f t="array" aca="1" ref="H336" ca="1">CELL("address",_xlfn.XLOOKUP(A336,Sheet1!C:C,Sheet1!C:C))</f>
        <v>[match.xlsx]Sheet1!$C$382</v>
      </c>
      <c r="I336" t="str" cm="1">
        <f t="array" ref="I336:T336">_xlfn.XLOOKUP(A336,Sheet1!C:C,Sheet1!A:L)</f>
        <v>Newton</v>
      </c>
      <c r="J336" t="str">
        <v>Gustavo</v>
      </c>
      <c r="K336">
        <v>45035</v>
      </c>
      <c r="L336" t="str">
        <v>951240705-SO CAL GAS</v>
      </c>
      <c r="M336">
        <v>2022</v>
      </c>
      <c r="N336" t="str">
        <v>Individual is enrolled in a COBRA or Retiree plan coverage that was not sent on a current post-enrollment reporting year import</v>
      </c>
      <c r="O336" t="str">
        <v xml:space="preserve"> </v>
      </c>
      <c r="P336" t="str">
        <v xml:space="preserve"> </v>
      </c>
      <c r="Q336" s="2">
        <v>44653</v>
      </c>
      <c r="R336" s="2" t="str">
        <v xml:space="preserve"> </v>
      </c>
      <c r="S336" t="str">
        <v>01/01/2018-04/30/2022</v>
      </c>
      <c r="T336" t="str">
        <v>Anthem Health Care Plus+</v>
      </c>
    </row>
    <row r="337" spans="1:20" x14ac:dyDescent="0.25">
      <c r="A337" s="3">
        <v>26747</v>
      </c>
      <c r="B337">
        <v>247131965</v>
      </c>
      <c r="C337" t="s">
        <v>934</v>
      </c>
      <c r="D337" t="s">
        <v>1202</v>
      </c>
      <c r="E337" t="s">
        <v>1070</v>
      </c>
      <c r="F337" s="2">
        <v>44682</v>
      </c>
      <c r="H337" t="str" cm="1">
        <f t="array" aca="1" ref="H337" ca="1">CELL("address",_xlfn.XLOOKUP(A337,Sheet1!C:C,Sheet1!C:C))</f>
        <v>[match.xlsx]Sheet1!$C$165</v>
      </c>
      <c r="I337" t="str" cm="1">
        <f t="array" ref="I337:T337">_xlfn.XLOOKUP(A337,Sheet1!C:C,Sheet1!A:L)</f>
        <v>Galbreath</v>
      </c>
      <c r="J337" t="str">
        <v>Thomas</v>
      </c>
      <c r="K337">
        <v>26747</v>
      </c>
      <c r="L337" t="str">
        <v>951240705-SO CAL GAS</v>
      </c>
      <c r="M337">
        <v>2022</v>
      </c>
      <c r="N337" t="str">
        <v>Individual is enrolled in a COBRA or Retiree plan coverage that was not sent on a current post-enrollment reporting year import</v>
      </c>
      <c r="O337" t="str">
        <v xml:space="preserve"> </v>
      </c>
      <c r="P337" t="str">
        <v xml:space="preserve"> </v>
      </c>
      <c r="Q337" s="2">
        <v>44653</v>
      </c>
      <c r="R337" s="2" t="str">
        <v xml:space="preserve"> </v>
      </c>
      <c r="S337" t="str">
        <v>08/01/2019-04/30/2022</v>
      </c>
      <c r="T337" t="str">
        <v>Anthem California Care HMO</v>
      </c>
    </row>
    <row r="338" spans="1:20" x14ac:dyDescent="0.25">
      <c r="A338" s="3">
        <v>37619</v>
      </c>
      <c r="B338">
        <v>546274673</v>
      </c>
      <c r="C338" t="s">
        <v>976</v>
      </c>
      <c r="D338" t="s">
        <v>1203</v>
      </c>
      <c r="E338" t="s">
        <v>969</v>
      </c>
      <c r="F338" s="2">
        <v>44682</v>
      </c>
      <c r="H338" t="str" cm="1">
        <f t="array" aca="1" ref="H338" ca="1">CELL("address",_xlfn.XLOOKUP(A338,Sheet1!C:C,Sheet1!C:C))</f>
        <v>[match.xlsx]Sheet1!$C$503</v>
      </c>
      <c r="I338" t="str" cm="1">
        <f t="array" ref="I338:T338">_xlfn.XLOOKUP(A338,Sheet1!C:C,Sheet1!A:L)</f>
        <v>Smith</v>
      </c>
      <c r="J338" t="str">
        <v>Sandra</v>
      </c>
      <c r="K338">
        <v>37619</v>
      </c>
      <c r="L338" t="str">
        <v>951184800-SAN DIEGO GAS &amp; ELECTRIC</v>
      </c>
      <c r="M338">
        <v>2022</v>
      </c>
      <c r="N338" t="str">
        <v>Individual is enrolled in a COBRA or Retiree plan coverage that was not sent on a current post-enrollment reporting year import</v>
      </c>
      <c r="O338" t="str">
        <v xml:space="preserve"> </v>
      </c>
      <c r="P338" t="str">
        <v xml:space="preserve"> </v>
      </c>
      <c r="Q338" s="2">
        <v>44653</v>
      </c>
      <c r="R338" s="2" t="str">
        <v xml:space="preserve"> </v>
      </c>
      <c r="S338" t="str">
        <v>01/01/2019-04/30/2022</v>
      </c>
      <c r="T338" t="str">
        <v>Anthem Select HMO</v>
      </c>
    </row>
    <row r="339" spans="1:20" x14ac:dyDescent="0.25">
      <c r="A339" s="3">
        <v>49555</v>
      </c>
      <c r="B339">
        <v>567064044</v>
      </c>
      <c r="C339" t="s">
        <v>930</v>
      </c>
      <c r="D339" t="s">
        <v>929</v>
      </c>
      <c r="E339" t="s">
        <v>1070</v>
      </c>
      <c r="F339" s="2">
        <v>44682</v>
      </c>
      <c r="H339" t="str" cm="1">
        <f t="array" aca="1" ref="H339" ca="1">CELL("address",_xlfn.XLOOKUP(A339,Sheet1!C:C,Sheet1!C:C))</f>
        <v>[match.xlsx]Sheet1!$C$597</v>
      </c>
      <c r="I339" t="str" cm="1">
        <f t="array" ref="I339:T339">_xlfn.XLOOKUP(A339,Sheet1!C:C,Sheet1!A:L)</f>
        <v>Zamudio</v>
      </c>
      <c r="J339" t="str">
        <v>Ted</v>
      </c>
      <c r="K339">
        <v>49555</v>
      </c>
      <c r="L339" t="str">
        <v>951240705-SO CAL GAS</v>
      </c>
      <c r="M339">
        <v>2022</v>
      </c>
      <c r="N339" t="str">
        <v>Individual is enrolled in a COBRA or Retiree plan coverage that was not sent on a current post-enrollment reporting year import</v>
      </c>
      <c r="O339" t="str">
        <v xml:space="preserve"> </v>
      </c>
      <c r="P339" t="str">
        <v xml:space="preserve"> </v>
      </c>
      <c r="Q339" s="2">
        <v>44653</v>
      </c>
      <c r="R339" s="2" t="str">
        <v xml:space="preserve"> </v>
      </c>
      <c r="S339" t="str">
        <v>06/01/2019-04/30/2022</v>
      </c>
      <c r="T339" t="str">
        <v>Anthem Select HMO</v>
      </c>
    </row>
    <row r="340" spans="1:20" x14ac:dyDescent="0.25">
      <c r="A340" s="3">
        <v>59798</v>
      </c>
      <c r="B340">
        <v>556041604</v>
      </c>
      <c r="C340" t="s">
        <v>1063</v>
      </c>
      <c r="D340" t="s">
        <v>1204</v>
      </c>
      <c r="E340" t="s">
        <v>969</v>
      </c>
      <c r="F340" s="2">
        <v>44682</v>
      </c>
      <c r="H340" t="str" cm="1">
        <f t="array" aca="1" ref="H340" ca="1">CELL("address",_xlfn.XLOOKUP(A340,Sheet1!C:C,Sheet1!C:C))</f>
        <v>[match.xlsx]Sheet1!$C$364</v>
      </c>
      <c r="I340" t="str" cm="1">
        <f t="array" ref="I340:T340">_xlfn.XLOOKUP(A340,Sheet1!C:C,Sheet1!A:L)</f>
        <v>Moreno</v>
      </c>
      <c r="J340" t="str">
        <v>Daniel</v>
      </c>
      <c r="K340">
        <v>59798</v>
      </c>
      <c r="L340" t="str">
        <v>951184800-SAN DIEGO GAS &amp; ELECTRIC</v>
      </c>
      <c r="M340">
        <v>2022</v>
      </c>
      <c r="N340" t="str">
        <v>Individual is enrolled in a COBRA or Retiree plan coverage that was not sent on a current post-enrollment reporting year import</v>
      </c>
      <c r="O340" t="str">
        <v xml:space="preserve"> </v>
      </c>
      <c r="P340" t="str">
        <v xml:space="preserve"> </v>
      </c>
      <c r="Q340" s="2">
        <v>44653</v>
      </c>
      <c r="R340" s="2" t="str">
        <v xml:space="preserve"> </v>
      </c>
      <c r="S340" t="str">
        <v>01/01/2018-04/30/2022</v>
      </c>
      <c r="T340" t="str">
        <v>Anthem Health Care Plus+</v>
      </c>
    </row>
    <row r="341" spans="1:20" x14ac:dyDescent="0.25">
      <c r="A341" s="3">
        <v>23768</v>
      </c>
      <c r="B341">
        <v>579629848</v>
      </c>
      <c r="C341" t="s">
        <v>125</v>
      </c>
      <c r="D341" t="s">
        <v>855</v>
      </c>
      <c r="E341" t="s">
        <v>71</v>
      </c>
      <c r="F341" s="2">
        <v>44682</v>
      </c>
      <c r="H341" t="str" cm="1">
        <f t="array" aca="1" ref="H341" ca="1">CELL("address",_xlfn.XLOOKUP(A341,Sheet1!C:C,Sheet1!C:C))</f>
        <v>[match.xlsx]Sheet1!$C$547</v>
      </c>
      <c r="I341" t="str" cm="1">
        <f t="array" ref="I341:T341">_xlfn.XLOOKUP(A341,Sheet1!C:C,Sheet1!A:L)</f>
        <v>Turley</v>
      </c>
      <c r="J341" t="str">
        <v>Mary</v>
      </c>
      <c r="K341">
        <v>23768</v>
      </c>
      <c r="L341" t="str">
        <v>951184800-SAN DIEGO GAS &amp; ELECTRIC</v>
      </c>
      <c r="M341">
        <v>2022</v>
      </c>
      <c r="N341" t="str">
        <v>Individual is enrolled in a COBRA or Retiree plan coverage that was not sent on a current post-enrollment reporting year import</v>
      </c>
      <c r="O341" t="str">
        <v xml:space="preserve"> </v>
      </c>
      <c r="P341" t="str">
        <v xml:space="preserve"> </v>
      </c>
      <c r="Q341" s="2">
        <v>44653</v>
      </c>
      <c r="R341" s="2" t="str">
        <v xml:space="preserve"> </v>
      </c>
      <c r="S341" t="str">
        <v>10/01/2018-04/30/2022</v>
      </c>
      <c r="T341" t="str">
        <v>Anthem Select HMO</v>
      </c>
    </row>
    <row r="342" spans="1:20" x14ac:dyDescent="0.25">
      <c r="A342" s="3">
        <v>97608</v>
      </c>
      <c r="B342">
        <v>561253346</v>
      </c>
      <c r="C342" t="s">
        <v>1205</v>
      </c>
      <c r="D342" t="s">
        <v>1206</v>
      </c>
      <c r="E342" t="s">
        <v>969</v>
      </c>
      <c r="F342" s="2">
        <v>44682</v>
      </c>
      <c r="H342" t="str" cm="1">
        <f t="array" aca="1" ref="H342" ca="1">CELL("address",_xlfn.XLOOKUP(A342,Sheet1!C:C,Sheet1!C:C))</f>
        <v>[match.xlsx]Sheet1!$C$201</v>
      </c>
      <c r="I342" t="str" cm="1">
        <f t="array" ref="I342:T342">_xlfn.XLOOKUP(A342,Sheet1!C:C,Sheet1!A:L)</f>
        <v>Hammer</v>
      </c>
      <c r="J342" t="str">
        <v>Paula</v>
      </c>
      <c r="K342">
        <v>97608</v>
      </c>
      <c r="L342" t="str">
        <v>951240705-SO CAL GAS</v>
      </c>
      <c r="M342">
        <v>2022</v>
      </c>
      <c r="N342" t="str">
        <v>Individual is enrolled in a COBRA or Retiree plan coverage that was not sent on a current post-enrollment reporting year import</v>
      </c>
      <c r="O342" t="str">
        <v xml:space="preserve"> </v>
      </c>
      <c r="P342" t="str">
        <v xml:space="preserve"> </v>
      </c>
      <c r="Q342" s="2">
        <v>44653</v>
      </c>
      <c r="R342" s="2" t="str">
        <v xml:space="preserve"> </v>
      </c>
      <c r="S342" t="str">
        <v>01/01/2019-04/30/2022</v>
      </c>
      <c r="T342" t="str">
        <v>Anthem California Care HMO</v>
      </c>
    </row>
    <row r="343" spans="1:20" x14ac:dyDescent="0.25">
      <c r="A343" s="3">
        <v>47981</v>
      </c>
      <c r="B343">
        <v>119543279</v>
      </c>
      <c r="C343" t="s">
        <v>508</v>
      </c>
      <c r="D343" t="s">
        <v>507</v>
      </c>
      <c r="E343" t="s">
        <v>24</v>
      </c>
      <c r="F343" s="2">
        <v>44652</v>
      </c>
      <c r="H343" t="str" cm="1">
        <f t="array" aca="1" ref="H343" ca="1">CELL("address",_xlfn.XLOOKUP(A343,Sheet1!C:C,Sheet1!C:C))</f>
        <v>[match.xlsx]Sheet1!$C$270</v>
      </c>
      <c r="I343" t="str" cm="1">
        <f t="array" ref="I343:T343">_xlfn.XLOOKUP(A343,Sheet1!C:C,Sheet1!A:L)</f>
        <v>Krevat</v>
      </c>
      <c r="J343" t="str">
        <v>Lee</v>
      </c>
      <c r="K343">
        <v>47981</v>
      </c>
      <c r="L343" t="str">
        <v>453715016-SEMPRA INFRASTRUCTURE LLC</v>
      </c>
      <c r="M343">
        <v>2022</v>
      </c>
      <c r="N343" t="str">
        <v>Individual is enrolled in a COBRA or Retiree plan coverage that was not sent on a current post-enrollment reporting year import</v>
      </c>
      <c r="O343" t="str">
        <v xml:space="preserve"> </v>
      </c>
      <c r="P343" t="str">
        <v xml:space="preserve"> </v>
      </c>
      <c r="Q343" s="2">
        <v>44653</v>
      </c>
      <c r="R343" s="2" t="str">
        <v xml:space="preserve"> </v>
      </c>
      <c r="S343" t="str">
        <v>09/01/2018-12/31/9999</v>
      </c>
      <c r="T343" t="str">
        <v>Anthem Select HMO</v>
      </c>
    </row>
    <row r="344" spans="1:20" x14ac:dyDescent="0.25">
      <c r="A344" s="3">
        <v>35638</v>
      </c>
      <c r="B344">
        <v>549219987</v>
      </c>
      <c r="C344" t="s">
        <v>998</v>
      </c>
      <c r="D344" t="s">
        <v>1207</v>
      </c>
      <c r="E344" t="s">
        <v>969</v>
      </c>
      <c r="F344" s="2">
        <v>43466</v>
      </c>
      <c r="H344" t="str" cm="1">
        <f t="array" aca="1" ref="H344" ca="1">CELL("address",_xlfn.XLOOKUP(A344,Sheet1!C:C,Sheet1!C:C))</f>
        <v>[match.xlsx]Sheet1!$C$541</v>
      </c>
      <c r="I344" t="str" cm="1">
        <f t="array" ref="I344:T344">_xlfn.XLOOKUP(A344,Sheet1!C:C,Sheet1!A:L)</f>
        <v>Torres</v>
      </c>
      <c r="J344" t="str">
        <v>William</v>
      </c>
      <c r="K344">
        <v>35638</v>
      </c>
      <c r="L344" t="str">
        <v>951240705-SO CAL GAS</v>
      </c>
      <c r="M344">
        <v>2022</v>
      </c>
      <c r="N344" t="str">
        <v>Individual is enrolled in a COBRA or Retiree plan coverage that was not sent on a current post-enrollment reporting year import</v>
      </c>
      <c r="O344" t="str">
        <v xml:space="preserve"> </v>
      </c>
      <c r="P344" t="str">
        <v xml:space="preserve"> </v>
      </c>
      <c r="Q344" s="2">
        <v>44653</v>
      </c>
      <c r="R344" s="2" t="str">
        <v xml:space="preserve"> </v>
      </c>
      <c r="S344" t="str">
        <v>01/01/2018-12/31/9999</v>
      </c>
      <c r="T344" t="str">
        <v>Anthem California Care HMO</v>
      </c>
    </row>
    <row r="345" spans="1:20" x14ac:dyDescent="0.25">
      <c r="A345" s="3">
        <v>42524</v>
      </c>
      <c r="B345">
        <v>558238897</v>
      </c>
      <c r="C345" t="s">
        <v>589</v>
      </c>
      <c r="D345" t="s">
        <v>588</v>
      </c>
      <c r="E345" t="s">
        <v>1070</v>
      </c>
      <c r="F345" s="2">
        <v>44713</v>
      </c>
      <c r="H345" t="str" cm="1">
        <f t="array" aca="1" ref="H345" ca="1">CELL("address",_xlfn.XLOOKUP(A345,Sheet1!C:C,Sheet1!C:C))</f>
        <v>[match.xlsx]Sheet1!$C$326</v>
      </c>
      <c r="I345" t="str" cm="1">
        <f t="array" ref="I345:T345">_xlfn.XLOOKUP(A345,Sheet1!C:C,Sheet1!A:L)</f>
        <v>Marks</v>
      </c>
      <c r="J345" t="str">
        <v>Marc</v>
      </c>
      <c r="K345">
        <v>42524</v>
      </c>
      <c r="L345" t="str">
        <v>951240705-SO CAL GAS</v>
      </c>
      <c r="M345">
        <v>2022</v>
      </c>
      <c r="N345" t="str">
        <v>Individual is enrolled in a COBRA or Retiree plan coverage that was not sent on a current post-enrollment reporting year import</v>
      </c>
      <c r="O345" t="str">
        <v xml:space="preserve"> </v>
      </c>
      <c r="P345" t="str">
        <v xml:space="preserve"> </v>
      </c>
      <c r="Q345" s="2">
        <v>44653</v>
      </c>
      <c r="R345" s="2" t="str">
        <v xml:space="preserve"> </v>
      </c>
      <c r="S345" t="str">
        <v>01/01/2019-12/31/9999</v>
      </c>
      <c r="T345" t="str">
        <v>Anthem Select HMO</v>
      </c>
    </row>
    <row r="346" spans="1:20" x14ac:dyDescent="0.25">
      <c r="A346" s="3">
        <v>88700</v>
      </c>
      <c r="B346">
        <v>554061561</v>
      </c>
      <c r="C346" t="s">
        <v>865</v>
      </c>
      <c r="D346" t="s">
        <v>864</v>
      </c>
      <c r="E346" t="s">
        <v>1070</v>
      </c>
      <c r="F346" s="2">
        <v>44713</v>
      </c>
      <c r="H346" t="str" cm="1">
        <f t="array" aca="1" ref="H346" ca="1">CELL("address",_xlfn.XLOOKUP(A346,Sheet1!C:C,Sheet1!C:C))</f>
        <v>[match.xlsx]Sheet1!$C$552</v>
      </c>
      <c r="I346" t="str" cm="1">
        <f t="array" ref="I346:T346">_xlfn.XLOOKUP(A346,Sheet1!C:C,Sheet1!A:L)</f>
        <v>Valdez</v>
      </c>
      <c r="J346" t="str">
        <v>Antonio</v>
      </c>
      <c r="K346">
        <v>88700</v>
      </c>
      <c r="L346" t="str">
        <v>951184800-SAN DIEGO GAS &amp; ELECTRIC</v>
      </c>
      <c r="M346">
        <v>2022</v>
      </c>
      <c r="N346" t="str">
        <v>Individual is enrolled in a COBRA or Retiree plan coverage that was not sent on a current post-enrollment reporting year import</v>
      </c>
      <c r="O346" t="str">
        <v xml:space="preserve"> </v>
      </c>
      <c r="P346" t="str">
        <v xml:space="preserve"> </v>
      </c>
      <c r="Q346" s="2">
        <v>44653</v>
      </c>
      <c r="R346" s="2" t="str">
        <v xml:space="preserve"> </v>
      </c>
      <c r="S346" t="str">
        <v>08/01/2019-12/31/9999</v>
      </c>
      <c r="T346" t="str">
        <v>Anthem Health Care Plus+</v>
      </c>
    </row>
    <row r="347" spans="1:20" x14ac:dyDescent="0.25">
      <c r="A347" s="3">
        <v>48119</v>
      </c>
      <c r="B347">
        <v>565085782</v>
      </c>
      <c r="C347" t="s">
        <v>1066</v>
      </c>
      <c r="D347" t="s">
        <v>1208</v>
      </c>
      <c r="E347" t="s">
        <v>1070</v>
      </c>
      <c r="F347" s="2">
        <v>44713</v>
      </c>
      <c r="H347" t="str" cm="1">
        <f t="array" aca="1" ref="H347" ca="1">CELL("address",_xlfn.XLOOKUP(A347,Sheet1!C:C,Sheet1!C:C))</f>
        <v>[match.xlsx]Sheet1!$C$179</v>
      </c>
      <c r="I347" t="str" cm="1">
        <f t="array" ref="I347:T347">_xlfn.XLOOKUP(A347,Sheet1!C:C,Sheet1!A:L)</f>
        <v>Gomez</v>
      </c>
      <c r="J347" t="str">
        <v>Sharon</v>
      </c>
      <c r="K347">
        <v>48119</v>
      </c>
      <c r="L347" t="str">
        <v>951240705-SO CAL GAS</v>
      </c>
      <c r="M347">
        <v>2022</v>
      </c>
      <c r="N347" t="str">
        <v>Individual is enrolled in a COBRA or Retiree plan coverage that was not sent on a current post-enrollment reporting year import</v>
      </c>
      <c r="O347" t="str">
        <v xml:space="preserve"> </v>
      </c>
      <c r="P347" t="str">
        <v xml:space="preserve"> </v>
      </c>
      <c r="Q347" s="2">
        <v>44653</v>
      </c>
      <c r="R347" s="2" t="str">
        <v xml:space="preserve"> </v>
      </c>
      <c r="S347" t="str">
        <v>01/01/2018-12/31/9999</v>
      </c>
      <c r="T347" t="str">
        <v>Anthem Health Care Plus+</v>
      </c>
    </row>
    <row r="348" spans="1:20" x14ac:dyDescent="0.25">
      <c r="A348" s="3">
        <v>52191</v>
      </c>
      <c r="B348">
        <v>570377210</v>
      </c>
      <c r="C348" t="s">
        <v>1209</v>
      </c>
      <c r="D348" t="s">
        <v>1210</v>
      </c>
      <c r="E348" t="s">
        <v>969</v>
      </c>
      <c r="F348" s="2">
        <v>44713</v>
      </c>
      <c r="H348" t="str" cm="1">
        <f t="array" aca="1" ref="H348" ca="1">CELL("address",_xlfn.XLOOKUP(A348,Sheet1!C:C,Sheet1!C:C))</f>
        <v>[match.xlsx]Sheet1!$C$196</v>
      </c>
      <c r="I348" t="str" cm="1">
        <f t="array" ref="I348:T348">_xlfn.XLOOKUP(A348,Sheet1!C:C,Sheet1!A:L)</f>
        <v>Hackett</v>
      </c>
      <c r="J348" t="str">
        <v>Lorinda</v>
      </c>
      <c r="K348">
        <v>52191</v>
      </c>
      <c r="L348" t="str">
        <v>951240705-SO CAL GAS</v>
      </c>
      <c r="M348">
        <v>2022</v>
      </c>
      <c r="N348" t="str">
        <v>Individual is enrolled in a COBRA or Retiree plan coverage that was not sent on a current post-enrollment reporting year import</v>
      </c>
      <c r="O348" t="str">
        <v xml:space="preserve"> </v>
      </c>
      <c r="P348" t="str">
        <v xml:space="preserve"> </v>
      </c>
      <c r="Q348" s="2">
        <v>44653</v>
      </c>
      <c r="R348" s="2" t="str">
        <v xml:space="preserve"> </v>
      </c>
      <c r="S348" t="str">
        <v>01/01/2019-12/31/9999</v>
      </c>
      <c r="T348" t="str">
        <v>Anthem California Care HMO</v>
      </c>
    </row>
    <row r="349" spans="1:20" x14ac:dyDescent="0.25">
      <c r="A349" s="3">
        <v>61100</v>
      </c>
      <c r="B349">
        <v>561785074</v>
      </c>
      <c r="C349" t="s">
        <v>1211</v>
      </c>
      <c r="D349" t="s">
        <v>1011</v>
      </c>
      <c r="E349" t="s">
        <v>1070</v>
      </c>
      <c r="F349" s="2">
        <v>44713</v>
      </c>
      <c r="H349" t="str" cm="1">
        <f t="array" aca="1" ref="H349" ca="1">CELL("address",_xlfn.XLOOKUP(A349,Sheet1!C:C,Sheet1!C:C))</f>
        <v>[match.xlsx]Sheet1!$C$423</v>
      </c>
      <c r="I349" t="str" cm="1">
        <f t="array" ref="I349:T349">_xlfn.XLOOKUP(A349,Sheet1!C:C,Sheet1!A:L)</f>
        <v>Powell</v>
      </c>
      <c r="J349" t="str">
        <v>Lawrence</v>
      </c>
      <c r="K349">
        <v>61100</v>
      </c>
      <c r="L349" t="str">
        <v>951240705-SO CAL GAS</v>
      </c>
      <c r="M349">
        <v>2022</v>
      </c>
      <c r="N349" t="str">
        <v>Individual is enrolled in a COBRA or Retiree plan coverage that was not sent on a current post-enrollment reporting year import</v>
      </c>
      <c r="O349" t="str">
        <v xml:space="preserve"> </v>
      </c>
      <c r="P349" t="str">
        <v xml:space="preserve"> </v>
      </c>
      <c r="Q349" s="2">
        <v>44653</v>
      </c>
      <c r="R349" s="2" t="str">
        <v xml:space="preserve"> </v>
      </c>
      <c r="S349" t="str">
        <v>01/01/2018-12/31/9999</v>
      </c>
      <c r="T349" t="str">
        <v>Anthem Health Care Plus+</v>
      </c>
    </row>
    <row r="350" spans="1:20" x14ac:dyDescent="0.25">
      <c r="A350" s="3">
        <v>2934</v>
      </c>
      <c r="B350">
        <v>11548455</v>
      </c>
      <c r="C350" t="s">
        <v>264</v>
      </c>
      <c r="D350" t="s">
        <v>189</v>
      </c>
      <c r="E350" t="s">
        <v>24</v>
      </c>
      <c r="F350" s="2">
        <v>44713</v>
      </c>
      <c r="H350" t="str" cm="1">
        <f t="array" aca="1" ref="H350" ca="1">CELL("address",_xlfn.XLOOKUP(A350,Sheet1!C:C,Sheet1!C:C))</f>
        <v>[match.xlsx]Sheet1!$C$533</v>
      </c>
      <c r="I350" t="str" cm="1">
        <f t="array" ref="I350:T350">_xlfn.XLOOKUP(A350,Sheet1!C:C,Sheet1!A:L)</f>
        <v>Thomas</v>
      </c>
      <c r="J350" t="str">
        <v>Frank</v>
      </c>
      <c r="K350">
        <v>2934</v>
      </c>
      <c r="L350" t="str">
        <v>951184800-SAN DIEGO GAS &amp; ELECTRIC</v>
      </c>
      <c r="M350">
        <v>2022</v>
      </c>
      <c r="N350" t="str">
        <v>Individual is enrolled in a COBRA or Retiree plan coverage that was not sent on a current post-enrollment reporting year import</v>
      </c>
      <c r="O350" t="str">
        <v xml:space="preserve"> </v>
      </c>
      <c r="P350" t="str">
        <v xml:space="preserve"> </v>
      </c>
      <c r="Q350" s="2">
        <v>44653</v>
      </c>
      <c r="R350" s="2" t="str">
        <v xml:space="preserve"> </v>
      </c>
      <c r="S350" t="str">
        <v>01/01/2020-12/31/9999</v>
      </c>
      <c r="T350" t="str">
        <v>Anthem Health Care Plus+</v>
      </c>
    </row>
    <row r="351" spans="1:20" x14ac:dyDescent="0.25">
      <c r="A351" s="3">
        <v>54995</v>
      </c>
      <c r="B351">
        <v>551988157</v>
      </c>
      <c r="C351" t="s">
        <v>939</v>
      </c>
      <c r="D351" t="s">
        <v>1212</v>
      </c>
      <c r="E351" t="s">
        <v>954</v>
      </c>
      <c r="F351" s="2">
        <v>44713</v>
      </c>
      <c r="H351" t="str" cm="1">
        <f t="array" aca="1" ref="H351" ca="1">CELL("address",_xlfn.XLOOKUP(A351,Sheet1!C:C,Sheet1!C:C))</f>
        <v>[match.xlsx]Sheet1!$C$341</v>
      </c>
      <c r="I351" t="str" cm="1">
        <f t="array" ref="I351:T351">_xlfn.XLOOKUP(A351,Sheet1!C:C,Sheet1!A:L)</f>
        <v>Mccarty</v>
      </c>
      <c r="J351" t="str">
        <v>Patricia</v>
      </c>
      <c r="K351">
        <v>54995</v>
      </c>
      <c r="L351" t="str">
        <v>951184800-SAN DIEGO GAS &amp; ELECTRIC</v>
      </c>
      <c r="M351">
        <v>2022</v>
      </c>
      <c r="N351" t="str">
        <v>Individual is enrolled in a COBRA or Retiree plan coverage that was not sent on a current post-enrollment reporting year import</v>
      </c>
      <c r="O351" t="str">
        <v xml:space="preserve"> </v>
      </c>
      <c r="P351" t="str">
        <v xml:space="preserve"> </v>
      </c>
      <c r="Q351" s="2">
        <v>44653</v>
      </c>
      <c r="R351" s="2" t="str">
        <v xml:space="preserve"> </v>
      </c>
      <c r="S351" t="str">
        <v>01/01/2018-12/31/9999</v>
      </c>
      <c r="T351" t="str">
        <v>Anthem Select HMO</v>
      </c>
    </row>
    <row r="352" spans="1:20" x14ac:dyDescent="0.25">
      <c r="A352" s="3">
        <v>47284</v>
      </c>
      <c r="B352">
        <v>564067014</v>
      </c>
      <c r="C352" t="s">
        <v>522</v>
      </c>
      <c r="D352" t="s">
        <v>890</v>
      </c>
      <c r="E352" t="s">
        <v>24</v>
      </c>
      <c r="F352" s="2">
        <v>44713</v>
      </c>
      <c r="H352" t="str" cm="1">
        <f t="array" aca="1" ref="H352" ca="1">CELL("address",_xlfn.XLOOKUP(A352,Sheet1!C:C,Sheet1!C:C))</f>
        <v>[match.xlsx]Sheet1!$C$569</v>
      </c>
      <c r="I352" t="str" cm="1">
        <f t="array" ref="I352:T352">_xlfn.XLOOKUP(A352,Sheet1!C:C,Sheet1!A:L)</f>
        <v>White</v>
      </c>
      <c r="J352" t="str">
        <v>Bradley</v>
      </c>
      <c r="K352">
        <v>47284</v>
      </c>
      <c r="L352" t="str">
        <v>951240705-SO CAL GAS</v>
      </c>
      <c r="M352">
        <v>2022</v>
      </c>
      <c r="N352" t="str">
        <v>Individual is enrolled in a COBRA or Retiree plan coverage that was not sent on a current post-enrollment reporting year import</v>
      </c>
      <c r="O352" t="str">
        <v xml:space="preserve"> </v>
      </c>
      <c r="P352" t="str">
        <v xml:space="preserve"> </v>
      </c>
      <c r="Q352" s="2">
        <v>44653</v>
      </c>
      <c r="R352" s="2" t="str">
        <v xml:space="preserve"> </v>
      </c>
      <c r="S352" t="str">
        <v>03/01/2018-12/31/9999</v>
      </c>
      <c r="T352" t="str">
        <v>Anthem Health Care Plus+</v>
      </c>
    </row>
    <row r="353" spans="1:20" x14ac:dyDescent="0.25">
      <c r="A353" s="3">
        <v>51922</v>
      </c>
      <c r="B353">
        <v>570061408</v>
      </c>
      <c r="C353" t="s">
        <v>170</v>
      </c>
      <c r="D353" t="s">
        <v>169</v>
      </c>
      <c r="E353" t="s">
        <v>969</v>
      </c>
      <c r="F353" s="2">
        <v>44713</v>
      </c>
      <c r="H353" t="str" cm="1">
        <f t="array" aca="1" ref="H353" ca="1">CELL("address",_xlfn.XLOOKUP(A353,Sheet1!C:C,Sheet1!C:C))</f>
        <v>[match.xlsx]Sheet1!$C$68</v>
      </c>
      <c r="I353" t="str" cm="1">
        <f t="array" ref="I353:T353">_xlfn.XLOOKUP(A353,Sheet1!C:C,Sheet1!A:L)</f>
        <v>Cameron</v>
      </c>
      <c r="J353" t="str">
        <v>Jimmy</v>
      </c>
      <c r="K353">
        <v>51922</v>
      </c>
      <c r="L353" t="str">
        <v>951240705-SO CAL GAS</v>
      </c>
      <c r="M353">
        <v>2022</v>
      </c>
      <c r="N353" t="str">
        <v>Individual is enrolled in a COBRA or Retiree plan coverage that was not sent on a current post-enrollment reporting year import</v>
      </c>
      <c r="O353" t="str">
        <v xml:space="preserve"> </v>
      </c>
      <c r="P353" t="str">
        <v xml:space="preserve"> </v>
      </c>
      <c r="Q353" s="2">
        <v>44653</v>
      </c>
      <c r="R353" s="2" t="str">
        <v xml:space="preserve"> </v>
      </c>
      <c r="S353" t="str">
        <v>01/01/2019-12/31/9999</v>
      </c>
      <c r="T353" t="str">
        <v>Anthem Select HMO</v>
      </c>
    </row>
    <row r="354" spans="1:20" x14ac:dyDescent="0.25">
      <c r="A354" s="3">
        <v>34774</v>
      </c>
      <c r="B354">
        <v>548273868</v>
      </c>
      <c r="C354" t="s">
        <v>1213</v>
      </c>
      <c r="D354" t="s">
        <v>1214</v>
      </c>
      <c r="E354" t="s">
        <v>1070</v>
      </c>
      <c r="F354" s="2">
        <v>44713</v>
      </c>
      <c r="H354" t="str" cm="1">
        <f t="array" aca="1" ref="H354" ca="1">CELL("address",_xlfn.XLOOKUP(A354,Sheet1!C:C,Sheet1!C:C))</f>
        <v>[match.xlsx]Sheet1!$C$457</v>
      </c>
      <c r="I354" t="str" cm="1">
        <f t="array" ref="I354:T354">_xlfn.XLOOKUP(A354,Sheet1!C:C,Sheet1!A:L)</f>
        <v>Roldan</v>
      </c>
      <c r="J354" t="str">
        <v>Annette</v>
      </c>
      <c r="K354">
        <v>34774</v>
      </c>
      <c r="L354" t="str">
        <v>951240705-SO CAL GAS</v>
      </c>
      <c r="M354">
        <v>2022</v>
      </c>
      <c r="N354" t="str">
        <v>Individual is enrolled in a COBRA or Retiree plan coverage that was not sent on a current post-enrollment reporting year import</v>
      </c>
      <c r="O354" t="str">
        <v xml:space="preserve"> </v>
      </c>
      <c r="P354" t="str">
        <v xml:space="preserve"> </v>
      </c>
      <c r="Q354" s="2">
        <v>44653</v>
      </c>
      <c r="R354" s="2" t="str">
        <v xml:space="preserve"> </v>
      </c>
      <c r="S354" t="str">
        <v>01/01/2018-12/31/9999</v>
      </c>
      <c r="T354" t="str">
        <v>Anthem California Care HMO</v>
      </c>
    </row>
    <row r="355" spans="1:20" x14ac:dyDescent="0.25">
      <c r="A355" s="3">
        <v>40002</v>
      </c>
      <c r="B355">
        <v>554949885</v>
      </c>
      <c r="C355" t="s">
        <v>1215</v>
      </c>
      <c r="D355" t="s">
        <v>1216</v>
      </c>
      <c r="E355" t="s">
        <v>1070</v>
      </c>
      <c r="F355" s="2">
        <v>44713</v>
      </c>
      <c r="H355" t="str" cm="1">
        <f t="array" aca="1" ref="H355" ca="1">CELL("address",_xlfn.XLOOKUP(A355,Sheet1!C:C,Sheet1!C:C))</f>
        <v>[match.xlsx]Sheet1!$C$55</v>
      </c>
      <c r="I355" t="str" cm="1">
        <f t="array" ref="I355:T355">_xlfn.XLOOKUP(A355,Sheet1!C:C,Sheet1!A:L)</f>
        <v>Boyd</v>
      </c>
      <c r="J355" t="str">
        <v>Steve</v>
      </c>
      <c r="K355">
        <v>40002</v>
      </c>
      <c r="L355" t="str">
        <v>951240705-SO CAL GAS</v>
      </c>
      <c r="M355">
        <v>2022</v>
      </c>
      <c r="N355" t="str">
        <v>Individual is enrolled in a COBRA or Retiree plan coverage that was not sent on a current post-enrollment reporting year import</v>
      </c>
      <c r="O355" t="str">
        <v xml:space="preserve"> </v>
      </c>
      <c r="P355" t="str">
        <v xml:space="preserve"> </v>
      </c>
      <c r="Q355" s="2">
        <v>44653</v>
      </c>
      <c r="R355" s="2" t="str">
        <v xml:space="preserve"> </v>
      </c>
      <c r="S355" t="str">
        <v>01/01/2018-12/31/9999</v>
      </c>
      <c r="T355" t="str">
        <v>Anthem California Care HMO</v>
      </c>
    </row>
    <row r="356" spans="1:20" x14ac:dyDescent="0.25">
      <c r="A356" s="3">
        <v>21</v>
      </c>
      <c r="B356">
        <v>586542749</v>
      </c>
      <c r="C356" t="s">
        <v>515</v>
      </c>
      <c r="D356" t="s">
        <v>514</v>
      </c>
      <c r="E356" t="s">
        <v>966</v>
      </c>
      <c r="F356" s="2">
        <v>44743</v>
      </c>
      <c r="H356" t="str" cm="1">
        <f t="array" aca="1" ref="H356" ca="1">CELL("address",_xlfn.XLOOKUP(A356,Sheet1!C:C,Sheet1!C:C))</f>
        <v>[match.xlsx]Sheet1!$C$274</v>
      </c>
      <c r="I356" t="str" cm="1">
        <f t="array" ref="I356:T356">_xlfn.XLOOKUP(A356,Sheet1!C:C,Sheet1!A:L)</f>
        <v>Lai</v>
      </c>
      <c r="J356" t="str">
        <v>Zung</v>
      </c>
      <c r="K356">
        <v>21</v>
      </c>
      <c r="L356" t="str">
        <v>951184800-SAN DIEGO GAS &amp; ELECTRIC</v>
      </c>
      <c r="M356">
        <v>2022</v>
      </c>
      <c r="N356" t="str">
        <v>Individual is enrolled in a COBRA or Retiree plan coverage that was not sent on a current post-enrollment reporting year import</v>
      </c>
      <c r="O356" t="str">
        <v xml:space="preserve"> </v>
      </c>
      <c r="P356" t="str">
        <v xml:space="preserve"> </v>
      </c>
      <c r="Q356" s="2">
        <v>44653</v>
      </c>
      <c r="R356" s="2" t="str">
        <v xml:space="preserve"> </v>
      </c>
      <c r="S356" t="str">
        <v>01/01/2020-12/31/9999</v>
      </c>
      <c r="T356" t="str">
        <v>Anthem Select HMO</v>
      </c>
    </row>
    <row r="357" spans="1:20" x14ac:dyDescent="0.25">
      <c r="A357" s="3">
        <v>61909</v>
      </c>
      <c r="B357">
        <v>546319063</v>
      </c>
      <c r="C357" t="s">
        <v>111</v>
      </c>
      <c r="D357" t="s">
        <v>919</v>
      </c>
      <c r="E357" t="s">
        <v>969</v>
      </c>
      <c r="F357" s="2">
        <v>44743</v>
      </c>
      <c r="H357" t="str" cm="1">
        <f t="array" aca="1" ref="H357" ca="1">CELL("address",_xlfn.XLOOKUP(A357,Sheet1!C:C,Sheet1!C:C))</f>
        <v>[match.xlsx]Sheet1!$C$589</v>
      </c>
      <c r="I357" t="str" cm="1">
        <f t="array" ref="I357:T357">_xlfn.XLOOKUP(A357,Sheet1!C:C,Sheet1!A:L)</f>
        <v>Yanase</v>
      </c>
      <c r="J357" t="str">
        <v>George</v>
      </c>
      <c r="K357">
        <v>61909</v>
      </c>
      <c r="L357" t="str">
        <v>951240705-SO CAL GAS</v>
      </c>
      <c r="M357">
        <v>2022</v>
      </c>
      <c r="N357" t="str">
        <v>Individual is enrolled in a COBRA or Retiree plan coverage that was not sent on a current post-enrollment reporting year import</v>
      </c>
      <c r="O357" t="str">
        <v xml:space="preserve"> </v>
      </c>
      <c r="P357" t="str">
        <v xml:space="preserve"> </v>
      </c>
      <c r="Q357" s="2">
        <v>44653</v>
      </c>
      <c r="R357" s="2" t="str">
        <v xml:space="preserve"> </v>
      </c>
      <c r="S357" t="str">
        <v>08/01/2019-12/31/9999</v>
      </c>
      <c r="T357" t="str">
        <v>Anthem Health Care Plus+</v>
      </c>
    </row>
    <row r="358" spans="1:20" x14ac:dyDescent="0.25">
      <c r="A358" s="3">
        <v>37077</v>
      </c>
      <c r="B358">
        <v>551087043</v>
      </c>
      <c r="C358" t="s">
        <v>900</v>
      </c>
      <c r="D358" t="s">
        <v>899</v>
      </c>
      <c r="E358" t="s">
        <v>969</v>
      </c>
      <c r="F358" s="2">
        <v>44743</v>
      </c>
      <c r="H358" t="str" cm="1">
        <f t="array" aca="1" ref="H358" ca="1">CELL("address",_xlfn.XLOOKUP(A358,Sheet1!C:C,Sheet1!C:C))</f>
        <v>[match.xlsx]Sheet1!$C$577</v>
      </c>
      <c r="I358" t="str" cm="1">
        <f t="array" ref="I358:T358">_xlfn.XLOOKUP(A358,Sheet1!C:C,Sheet1!A:L)</f>
        <v>Wingert</v>
      </c>
      <c r="J358" t="str">
        <v>Brad</v>
      </c>
      <c r="K358">
        <v>37077</v>
      </c>
      <c r="L358" t="str">
        <v>951240705-SO CAL GAS</v>
      </c>
      <c r="M358">
        <v>2022</v>
      </c>
      <c r="N358" t="str">
        <v>Individual is enrolled in a COBRA or Retiree plan coverage that was not sent on a current post-enrollment reporting year import</v>
      </c>
      <c r="O358" t="str">
        <v xml:space="preserve"> </v>
      </c>
      <c r="P358" t="str">
        <v xml:space="preserve"> </v>
      </c>
      <c r="Q358" s="2">
        <v>44653</v>
      </c>
      <c r="R358" s="2" t="str">
        <v xml:space="preserve"> </v>
      </c>
      <c r="S358" t="str">
        <v>03/01/2020-12/31/9999</v>
      </c>
      <c r="T358" t="str">
        <v>Anthem Select HMO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Debuque, Gus (Taguig City)</dc:creator>
  <cp:lastModifiedBy>Valdez, Ronald Kyle (Taguig City 1634)</cp:lastModifiedBy>
  <dcterms:created xsi:type="dcterms:W3CDTF">2022-04-28T16:20:12Z</dcterms:created>
  <dcterms:modified xsi:type="dcterms:W3CDTF">2022-04-28T16:39:24Z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2022-04-28T16:20:12Z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936396d9-caa0-4128-9ded-dbdc3108eb98</vt:lpwstr>
  </property>
  <property fmtid="{D5CDD505-2E9C-101B-9397-08002B2CF9AE}" pid="8" name="MSIP_Label_d347b247-e90e-43a3-9d7b-004f14ae6873_ContentBits">
    <vt:lpwstr>0</vt:lpwstr>
  </property>
</Properties>
</file>